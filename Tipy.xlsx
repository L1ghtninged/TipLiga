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esar\Downloads\"/>
    </mc:Choice>
  </mc:AlternateContent>
  <xr:revisionPtr revIDLastSave="0" documentId="13_ncr:1_{B5B9DD10-1FF9-43A0-AA1C-7BB6721EEC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py" sheetId="4" r:id="rId1"/>
    <sheet name="Umístění týmů" sheetId="6" r:id="rId2"/>
    <sheet name="Pořadí" sheetId="5" r:id="rId3"/>
  </sheets>
  <definedNames>
    <definedName name="_xlnm._FilterDatabase" localSheetId="2" hidden="1">Pořadí!$K$8:$M$8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4" i="4" l="1"/>
  <c r="AC33" i="4"/>
  <c r="AC32" i="4"/>
  <c r="AC30" i="4"/>
  <c r="AC28" i="4"/>
  <c r="BG52" i="4"/>
  <c r="BB52" i="4"/>
  <c r="AW52" i="4"/>
  <c r="AR52" i="4"/>
  <c r="AM52" i="4"/>
  <c r="AH52" i="4"/>
  <c r="AC52" i="4"/>
  <c r="X52" i="4"/>
  <c r="S52" i="4"/>
  <c r="BQ52" i="4" s="1"/>
  <c r="N52" i="4"/>
  <c r="BL52" i="4" s="1"/>
  <c r="BG51" i="4"/>
  <c r="BB51" i="4"/>
  <c r="AW51" i="4"/>
  <c r="AR51" i="4"/>
  <c r="AM51" i="4"/>
  <c r="AH51" i="4"/>
  <c r="AC51" i="4"/>
  <c r="X51" i="4"/>
  <c r="S51" i="4"/>
  <c r="BQ51" i="4" s="1"/>
  <c r="N51" i="4"/>
  <c r="BL51" i="4" s="1"/>
  <c r="BG50" i="4"/>
  <c r="BB50" i="4"/>
  <c r="AW50" i="4"/>
  <c r="AR50" i="4"/>
  <c r="AM50" i="4"/>
  <c r="AH50" i="4"/>
  <c r="AC50" i="4"/>
  <c r="X50" i="4"/>
  <c r="S50" i="4"/>
  <c r="BQ50" i="4" s="1"/>
  <c r="N50" i="4"/>
  <c r="BL50" i="4" s="1"/>
  <c r="BG49" i="4"/>
  <c r="BB49" i="4"/>
  <c r="AW49" i="4"/>
  <c r="AR49" i="4"/>
  <c r="AM49" i="4"/>
  <c r="AH49" i="4"/>
  <c r="AC49" i="4"/>
  <c r="X49" i="4"/>
  <c r="S49" i="4"/>
  <c r="BQ49" i="4" s="1"/>
  <c r="N49" i="4"/>
  <c r="BL49" i="4" s="1"/>
  <c r="BG48" i="4"/>
  <c r="BB48" i="4"/>
  <c r="AW48" i="4"/>
  <c r="AR48" i="4"/>
  <c r="AM48" i="4"/>
  <c r="AH48" i="4"/>
  <c r="AC48" i="4"/>
  <c r="X48" i="4"/>
  <c r="S48" i="4"/>
  <c r="BQ48" i="4" s="1"/>
  <c r="N48" i="4"/>
  <c r="BL48" i="4" s="1"/>
  <c r="BG47" i="4"/>
  <c r="BB47" i="4"/>
  <c r="AW47" i="4"/>
  <c r="AR47" i="4"/>
  <c r="AM47" i="4"/>
  <c r="AH47" i="4"/>
  <c r="AC47" i="4"/>
  <c r="X47" i="4"/>
  <c r="S47" i="4"/>
  <c r="BQ47" i="4" s="1"/>
  <c r="N47" i="4"/>
  <c r="BL47" i="4" s="1"/>
  <c r="BG46" i="4"/>
  <c r="BB46" i="4"/>
  <c r="AW46" i="4"/>
  <c r="AR46" i="4"/>
  <c r="AM46" i="4"/>
  <c r="AH46" i="4"/>
  <c r="AC46" i="4"/>
  <c r="X46" i="4"/>
  <c r="S46" i="4"/>
  <c r="BQ46" i="4" s="1"/>
  <c r="N46" i="4"/>
  <c r="BL46" i="4" s="1"/>
  <c r="BG45" i="4"/>
  <c r="BB45" i="4"/>
  <c r="AW45" i="4"/>
  <c r="AR45" i="4"/>
  <c r="AM45" i="4"/>
  <c r="AH45" i="4"/>
  <c r="AC45" i="4"/>
  <c r="X45" i="4"/>
  <c r="S45" i="4"/>
  <c r="BQ45" i="4" s="1"/>
  <c r="N45" i="4"/>
  <c r="BL45" i="4" s="1"/>
  <c r="BG43" i="4"/>
  <c r="BB43" i="4"/>
  <c r="AW43" i="4"/>
  <c r="AR43" i="4"/>
  <c r="AM43" i="4"/>
  <c r="AH43" i="4"/>
  <c r="AC43" i="4"/>
  <c r="X43" i="4"/>
  <c r="S43" i="4"/>
  <c r="BQ43" i="4" s="1"/>
  <c r="N43" i="4"/>
  <c r="BL43" i="4" s="1"/>
  <c r="BG42" i="4"/>
  <c r="BB42" i="4"/>
  <c r="AW42" i="4"/>
  <c r="AR42" i="4"/>
  <c r="AM42" i="4"/>
  <c r="AH42" i="4"/>
  <c r="AC42" i="4"/>
  <c r="X42" i="4"/>
  <c r="S42" i="4"/>
  <c r="BQ42" i="4" s="1"/>
  <c r="N42" i="4"/>
  <c r="BL42" i="4" s="1"/>
  <c r="BQ41" i="4"/>
  <c r="BG41" i="4"/>
  <c r="BB41" i="4"/>
  <c r="AW41" i="4"/>
  <c r="AR41" i="4"/>
  <c r="AM41" i="4"/>
  <c r="AH41" i="4"/>
  <c r="AC41" i="4"/>
  <c r="X41" i="4"/>
  <c r="S41" i="4"/>
  <c r="N41" i="4"/>
  <c r="BL41" i="4" s="1"/>
  <c r="BG40" i="4"/>
  <c r="BB40" i="4"/>
  <c r="AW40" i="4"/>
  <c r="AR40" i="4"/>
  <c r="AM40" i="4"/>
  <c r="AH40" i="4"/>
  <c r="AC40" i="4"/>
  <c r="X40" i="4"/>
  <c r="S40" i="4"/>
  <c r="BQ40" i="4" s="1"/>
  <c r="N40" i="4"/>
  <c r="BL40" i="4" s="1"/>
  <c r="BG39" i="4"/>
  <c r="BB39" i="4"/>
  <c r="AW39" i="4"/>
  <c r="AR39" i="4"/>
  <c r="AM39" i="4"/>
  <c r="AH39" i="4"/>
  <c r="AC39" i="4"/>
  <c r="X39" i="4"/>
  <c r="S39" i="4"/>
  <c r="BQ39" i="4" s="1"/>
  <c r="N39" i="4"/>
  <c r="BL39" i="4" s="1"/>
  <c r="BL38" i="4"/>
  <c r="BG38" i="4"/>
  <c r="BB38" i="4"/>
  <c r="AW38" i="4"/>
  <c r="AR38" i="4"/>
  <c r="AM38" i="4"/>
  <c r="AH38" i="4"/>
  <c r="AC38" i="4"/>
  <c r="X38" i="4"/>
  <c r="S38" i="4"/>
  <c r="BQ38" i="4" s="1"/>
  <c r="N38" i="4"/>
  <c r="BL37" i="4"/>
  <c r="BG37" i="4"/>
  <c r="BB37" i="4"/>
  <c r="AW37" i="4"/>
  <c r="AR37" i="4"/>
  <c r="AM37" i="4"/>
  <c r="AH37" i="4"/>
  <c r="AC37" i="4"/>
  <c r="X37" i="4"/>
  <c r="S37" i="4"/>
  <c r="BQ37" i="4" s="1"/>
  <c r="N37" i="4"/>
  <c r="BL36" i="4"/>
  <c r="BG36" i="4"/>
  <c r="BB36" i="4"/>
  <c r="AW36" i="4"/>
  <c r="AR36" i="4"/>
  <c r="AM36" i="4"/>
  <c r="AH36" i="4"/>
  <c r="AC36" i="4"/>
  <c r="X36" i="4"/>
  <c r="S36" i="4"/>
  <c r="BQ36" i="4" s="1"/>
  <c r="N36" i="4"/>
  <c r="BB20" i="4" l="1"/>
  <c r="BB21" i="4"/>
  <c r="BB22" i="4"/>
  <c r="BB23" i="4"/>
  <c r="BB24" i="4"/>
  <c r="BB25" i="4"/>
  <c r="AC21" i="4" l="1"/>
  <c r="AY5" i="6" l="1"/>
  <c r="BQ15" i="4"/>
  <c r="BQ13" i="4"/>
  <c r="BM4" i="4"/>
  <c r="BG34" i="4"/>
  <c r="BB34" i="4"/>
  <c r="AW34" i="4"/>
  <c r="AR34" i="4"/>
  <c r="AH34" i="4"/>
  <c r="X34" i="4"/>
  <c r="S34" i="4"/>
  <c r="N34" i="4"/>
  <c r="BG33" i="4"/>
  <c r="BB33" i="4"/>
  <c r="AW33" i="4"/>
  <c r="AH33" i="4"/>
  <c r="N33" i="4"/>
  <c r="BG32" i="4"/>
  <c r="BB32" i="4"/>
  <c r="AW32" i="4"/>
  <c r="AR32" i="4"/>
  <c r="AM32" i="4"/>
  <c r="AH32" i="4"/>
  <c r="S32" i="4"/>
  <c r="N32" i="4"/>
  <c r="AM31" i="4"/>
  <c r="AH31" i="4"/>
  <c r="X31" i="4"/>
  <c r="N31" i="4"/>
  <c r="BG30" i="4"/>
  <c r="BB30" i="4"/>
  <c r="AW30" i="4"/>
  <c r="AR30" i="4"/>
  <c r="AM30" i="4"/>
  <c r="AH30" i="4"/>
  <c r="X30" i="4"/>
  <c r="S30" i="4"/>
  <c r="N30" i="4"/>
  <c r="BG29" i="4"/>
  <c r="BB29" i="4"/>
  <c r="AW29" i="4"/>
  <c r="AR29" i="4"/>
  <c r="AM29" i="4"/>
  <c r="AH29" i="4"/>
  <c r="AC29" i="4"/>
  <c r="X29" i="4"/>
  <c r="S29" i="4"/>
  <c r="N29" i="4"/>
  <c r="BG28" i="4"/>
  <c r="BB28" i="4"/>
  <c r="AR28" i="4"/>
  <c r="AM28" i="4"/>
  <c r="AH28" i="4"/>
  <c r="X28" i="4"/>
  <c r="S28" i="4"/>
  <c r="N28" i="4"/>
  <c r="BG27" i="4"/>
  <c r="AW27" i="4"/>
  <c r="AR27" i="4"/>
  <c r="AM27" i="4"/>
  <c r="AH27" i="4"/>
  <c r="AC27" i="4"/>
  <c r="X27" i="4"/>
  <c r="S27" i="4"/>
  <c r="N27" i="4"/>
  <c r="BB9" i="4"/>
  <c r="BB4" i="4" s="1"/>
  <c r="BB10" i="4"/>
  <c r="BB11" i="4"/>
  <c r="BB12" i="4"/>
  <c r="BB14" i="4"/>
  <c r="BB15" i="4"/>
  <c r="BB16" i="4"/>
  <c r="BH4" i="4" l="1"/>
  <c r="N9" i="4"/>
  <c r="X9" i="4"/>
  <c r="AM23" i="4"/>
  <c r="BG23" i="4"/>
  <c r="AR22" i="4"/>
  <c r="AH25" i="4"/>
  <c r="S23" i="4"/>
  <c r="N23" i="4"/>
  <c r="AU5" i="6"/>
  <c r="BC4" i="4" l="1"/>
  <c r="AI4" i="4"/>
  <c r="AX4" i="4" l="1"/>
  <c r="AN4" i="4"/>
  <c r="BG25" i="4" l="1"/>
  <c r="BG24" i="4"/>
  <c r="BG22" i="4"/>
  <c r="BG21" i="4"/>
  <c r="BG20" i="4"/>
  <c r="BG19" i="4"/>
  <c r="BG15" i="4"/>
  <c r="BG9" i="4"/>
  <c r="BG10" i="4"/>
  <c r="BG11" i="4"/>
  <c r="BG12" i="4"/>
  <c r="BG14" i="4"/>
  <c r="AR12" i="4"/>
  <c r="AW25" i="4"/>
  <c r="AW24" i="4"/>
  <c r="AW23" i="4"/>
  <c r="AW22" i="4"/>
  <c r="AW21" i="4"/>
  <c r="AW20" i="4"/>
  <c r="AW19" i="4"/>
  <c r="AW18" i="4"/>
  <c r="AR25" i="4"/>
  <c r="AR24" i="4"/>
  <c r="AR23" i="4"/>
  <c r="AR21" i="4"/>
  <c r="AR20" i="4"/>
  <c r="AM25" i="4"/>
  <c r="AM24" i="4"/>
  <c r="AM22" i="4"/>
  <c r="AM21" i="4"/>
  <c r="AM20" i="4"/>
  <c r="AM19" i="4"/>
  <c r="AH24" i="4"/>
  <c r="AH23" i="4"/>
  <c r="AH22" i="4"/>
  <c r="AH21" i="4"/>
  <c r="AH20" i="4"/>
  <c r="AH19" i="4"/>
  <c r="AC25" i="4"/>
  <c r="AC24" i="4"/>
  <c r="AC23" i="4"/>
  <c r="AC22" i="4"/>
  <c r="AC20" i="4"/>
  <c r="AC19" i="4"/>
  <c r="AC18" i="4"/>
  <c r="X25" i="4"/>
  <c r="X24" i="4"/>
  <c r="X23" i="4"/>
  <c r="X22" i="4"/>
  <c r="X21" i="4"/>
  <c r="X20" i="4"/>
  <c r="X18" i="4"/>
  <c r="S25" i="4"/>
  <c r="S24" i="4"/>
  <c r="S22" i="4"/>
  <c r="S21" i="4"/>
  <c r="S20" i="4"/>
  <c r="S19" i="4"/>
  <c r="N25" i="4"/>
  <c r="N24" i="4"/>
  <c r="N22" i="4"/>
  <c r="N21" i="4"/>
  <c r="N20" i="4"/>
  <c r="N19" i="4"/>
  <c r="BG4" i="4" l="1"/>
  <c r="BL4" i="4"/>
  <c r="BB8" i="4"/>
  <c r="BG8" i="4"/>
  <c r="S16" i="4"/>
  <c r="AQ5" i="6"/>
  <c r="AM5" i="6"/>
  <c r="AW9" i="4"/>
  <c r="S11" i="4"/>
  <c r="BQ11" i="4" s="1"/>
  <c r="S12" i="4"/>
  <c r="BQ12" i="4" s="1"/>
  <c r="AW10" i="4"/>
  <c r="AW12" i="4"/>
  <c r="AW14" i="4"/>
  <c r="AW15" i="4"/>
  <c r="AW16" i="4"/>
  <c r="AR10" i="4"/>
  <c r="AR4" i="4" s="1"/>
  <c r="AR11" i="4"/>
  <c r="AR15" i="4"/>
  <c r="AM10" i="4"/>
  <c r="AM11" i="4"/>
  <c r="AM12" i="4"/>
  <c r="AM14" i="4"/>
  <c r="AM15" i="4"/>
  <c r="AH10" i="4"/>
  <c r="AH11" i="4"/>
  <c r="AH12" i="4"/>
  <c r="AH13" i="4"/>
  <c r="AH14" i="4"/>
  <c r="AH15" i="4"/>
  <c r="AH16" i="4"/>
  <c r="AC10" i="4"/>
  <c r="AC12" i="4"/>
  <c r="AC14" i="4"/>
  <c r="AC15" i="4"/>
  <c r="X10" i="4"/>
  <c r="X4" i="4" s="1"/>
  <c r="X11" i="4"/>
  <c r="X12" i="4"/>
  <c r="X13" i="4"/>
  <c r="X14" i="4"/>
  <c r="X15" i="4"/>
  <c r="AM9" i="4"/>
  <c r="AH9" i="4"/>
  <c r="S10" i="4"/>
  <c r="BQ10" i="4" s="1"/>
  <c r="S14" i="4"/>
  <c r="BQ14" i="4" s="1"/>
  <c r="S9" i="4"/>
  <c r="BQ9" i="4" s="1"/>
  <c r="N12" i="4"/>
  <c r="N14" i="4"/>
  <c r="N15" i="4"/>
  <c r="N10" i="4"/>
  <c r="BQ4" i="4" l="1"/>
  <c r="AW4" i="4"/>
  <c r="AC4" i="4"/>
  <c r="N4" i="4"/>
  <c r="AH4" i="4"/>
  <c r="M16" i="5" s="1"/>
  <c r="S4" i="4"/>
  <c r="M12" i="5" s="1"/>
  <c r="AM4" i="4"/>
  <c r="M17" i="5" s="1"/>
  <c r="BQ8" i="4"/>
  <c r="L18" i="5" s="1"/>
  <c r="BL8" i="4"/>
  <c r="L11" i="5" s="1"/>
  <c r="M11" i="5"/>
  <c r="M13" i="5"/>
  <c r="M15" i="5"/>
  <c r="X8" i="4"/>
  <c r="AH8" i="4"/>
  <c r="N8" i="4"/>
  <c r="M20" i="5"/>
  <c r="M9" i="5"/>
  <c r="AR8" i="4"/>
  <c r="S8" i="4"/>
  <c r="M19" i="5"/>
  <c r="AW8" i="4"/>
  <c r="AM8" i="4"/>
  <c r="AC8" i="4"/>
  <c r="M10" i="5"/>
  <c r="L13" i="5"/>
  <c r="L14" i="5"/>
  <c r="L19" i="5" l="1"/>
  <c r="M14" i="5"/>
  <c r="AI5" i="6"/>
  <c r="AE5" i="6"/>
  <c r="L9" i="5" s="1"/>
  <c r="AA5" i="6"/>
  <c r="W5" i="6"/>
  <c r="S5" i="6"/>
  <c r="L17" i="5" s="1"/>
  <c r="O5" i="6"/>
  <c r="K5" i="6"/>
  <c r="G5" i="6"/>
  <c r="L12" i="5" l="1"/>
  <c r="L16" i="5" l="1"/>
  <c r="L15" i="5"/>
  <c r="L20" i="5"/>
  <c r="L10" i="5" l="1"/>
</calcChain>
</file>

<file path=xl/sharedStrings.xml><?xml version="1.0" encoding="utf-8"?>
<sst xmlns="http://schemas.openxmlformats.org/spreadsheetml/2006/main" count="915" uniqueCount="67">
  <si>
    <t>BODY</t>
  </si>
  <si>
    <t>PŘESNÉ SKÓRE ZÁPASU</t>
  </si>
  <si>
    <t>VÍTĚZ ZÁPASU + ROZDÍL VE SKÓRE</t>
  </si>
  <si>
    <t xml:space="preserve">POUZE VÍTĚZ </t>
  </si>
  <si>
    <t>Kamil</t>
  </si>
  <si>
    <t>Pája</t>
  </si>
  <si>
    <t>HRÁČ</t>
  </si>
  <si>
    <t>Jirka</t>
  </si>
  <si>
    <t>ŽOLÍK (ZDVOJNÁSOBÍ POČET VYHRANÝCH BODŮ, NUTNO OZNAČIT BAREVNĚ)</t>
  </si>
  <si>
    <t>Vítek</t>
  </si>
  <si>
    <t>Martin</t>
  </si>
  <si>
    <t>Filip</t>
  </si>
  <si>
    <t>BODOVÁNÍ</t>
  </si>
  <si>
    <t>ŽOLÍK 1X KAŽDÉ ODEHRANÉ KOLO</t>
  </si>
  <si>
    <t>1 .KOLO</t>
  </si>
  <si>
    <t>PLZEŇ</t>
  </si>
  <si>
    <t>LIBEREC</t>
  </si>
  <si>
    <t>OLOMOUC</t>
  </si>
  <si>
    <t>PARDUBICE</t>
  </si>
  <si>
    <t>JABLONEC</t>
  </si>
  <si>
    <t>SLOVÁCKO</t>
  </si>
  <si>
    <t>TEPLICE</t>
  </si>
  <si>
    <t>SLAVIA</t>
  </si>
  <si>
    <t>SPARTA</t>
  </si>
  <si>
    <t>BOHEMIANS</t>
  </si>
  <si>
    <t>%</t>
  </si>
  <si>
    <t xml:space="preserve">REMÍZA BEZ PŘESNÉHO SKÓRE  </t>
  </si>
  <si>
    <t>Janička</t>
  </si>
  <si>
    <t>Monča</t>
  </si>
  <si>
    <t>ZLÍN</t>
  </si>
  <si>
    <t>:</t>
  </si>
  <si>
    <t>2x</t>
  </si>
  <si>
    <t>výsledek</t>
  </si>
  <si>
    <t>2.KOLO</t>
  </si>
  <si>
    <t>Sláva</t>
  </si>
  <si>
    <t>PROCENTUÁLNÍ ÚSPĚŠNOST</t>
  </si>
  <si>
    <t>Tomáš</t>
  </si>
  <si>
    <t>ZBROJOVKA BRNO</t>
  </si>
  <si>
    <t>ARTIS BRNO</t>
  </si>
  <si>
    <t xml:space="preserve">5 BODŮ ZA TREFENÍ PŘESNÉ PŘÍČKY NA KONCI SOUTĚŽE </t>
  </si>
  <si>
    <t>CELKOVÉ POŘADÍ CHANCE LIGY 2026/2027</t>
  </si>
  <si>
    <t>sobota 25.7</t>
  </si>
  <si>
    <t>neděle 26.7.</t>
  </si>
  <si>
    <t>pondělí 27.7.</t>
  </si>
  <si>
    <t>BANÍK OSTRAVA</t>
  </si>
  <si>
    <t>MLADÁ BOLESLAV</t>
  </si>
  <si>
    <t>HRADEC KRÁLOVÉ</t>
  </si>
  <si>
    <t>pátek 31.7</t>
  </si>
  <si>
    <t>sobota 1.8.</t>
  </si>
  <si>
    <t>neděle 2.8.</t>
  </si>
  <si>
    <t>OSTRAVA</t>
  </si>
  <si>
    <t xml:space="preserve">ZBROJOVKA BRNO </t>
  </si>
  <si>
    <t xml:space="preserve">PARDUBICE </t>
  </si>
  <si>
    <t>David</t>
  </si>
  <si>
    <t>3.KOLO</t>
  </si>
  <si>
    <t>Adam</t>
  </si>
  <si>
    <t>SIGMA OLOMOUC</t>
  </si>
  <si>
    <t>pátek 7.8.</t>
  </si>
  <si>
    <t>sobota 8.8.</t>
  </si>
  <si>
    <t>neděle 9.8.</t>
  </si>
  <si>
    <t>4.KOLO</t>
  </si>
  <si>
    <t>sobota 15.8.</t>
  </si>
  <si>
    <t>neděle 16.8.</t>
  </si>
  <si>
    <t>5.KOLO</t>
  </si>
  <si>
    <t>odloženo</t>
  </si>
  <si>
    <t>sobota 22.8.</t>
  </si>
  <si>
    <t>neděle 23.8.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</si>
</sst>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2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8"/>
      <color theme="1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  <font>
      <b/>
      <sz val="18"/>
      <color rgb="FF00000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sz val="7"/>
      <color rgb="FF2D38C8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b/>
      <sz val="20"/>
      <color rgb="FFFFFF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20"/>
      <name val="Arial"/>
      <family val="2"/>
      <charset val="238"/>
    </font>
    <font>
      <u/>
      <sz val="11"/>
      <color theme="0"/>
      <name val="Calibri"/>
      <family val="2"/>
      <charset val="238"/>
      <scheme val="minor"/>
    </font>
    <font>
      <b/>
      <sz val="22"/>
      <name val="Calibri"/>
      <family val="2"/>
      <scheme val="minor"/>
    </font>
    <font>
      <sz val="20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b/>
      <sz val="20"/>
      <name val="Calibri"/>
      <family val="2"/>
      <scheme val="minor"/>
    </font>
    <font>
      <b/>
      <sz val="22"/>
      <color rgb="FFFFFF00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  <font>
      <sz val="16"/>
      <color theme="1"/>
      <name val="Arial Black"/>
      <family val="2"/>
      <charset val="238"/>
    </font>
    <font>
      <b/>
      <sz val="22"/>
      <color theme="1"/>
      <name val="Calibri"/>
      <family val="2"/>
      <charset val="238"/>
    </font>
    <font>
      <b/>
      <sz val="22"/>
      <color rgb="FFFFFF00"/>
      <name val="Calibri"/>
      <family val="2"/>
      <charset val="238"/>
    </font>
    <font>
      <b/>
      <sz val="22"/>
      <name val="Calibri"/>
      <family val="2"/>
      <charset val="238"/>
    </font>
    <font>
      <b/>
      <sz val="20"/>
      <name val="Calibri"/>
      <family val="2"/>
      <charset val="238"/>
    </font>
    <font>
      <u/>
      <sz val="11"/>
      <color theme="0"/>
      <name val="Calibri"/>
      <family val="2"/>
      <charset val="238"/>
    </font>
    <font>
      <b/>
      <sz val="11"/>
      <color rgb="FFFFFF00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1"/>
      <name val="Arial"/>
      <family val="2"/>
      <charset val="238"/>
    </font>
    <font>
      <b/>
      <sz val="22"/>
      <color theme="0"/>
      <name val="Calibri"/>
      <family val="2"/>
      <charset val="238"/>
    </font>
    <font>
      <b/>
      <sz val="20"/>
      <color theme="0"/>
      <name val="Arial"/>
      <family val="2"/>
      <charset val="238"/>
    </font>
    <font>
      <b/>
      <sz val="22"/>
      <color theme="1"/>
      <name val="Calibri"/>
      <family val="2"/>
      <charset val="238"/>
      <scheme val="minor"/>
    </font>
    <font>
      <b/>
      <sz val="22"/>
      <color theme="1"/>
      <name val="Arial"/>
      <family val="2"/>
      <charset val="238"/>
    </font>
    <font>
      <b/>
      <sz val="22"/>
      <name val="Arial"/>
      <family val="2"/>
      <charset val="238"/>
    </font>
    <font>
      <u/>
      <sz val="22"/>
      <color theme="0"/>
      <name val="Calibri"/>
      <family val="2"/>
      <charset val="238"/>
    </font>
    <font>
      <u/>
      <sz val="22"/>
      <color theme="0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  <font>
      <b/>
      <sz val="12"/>
      <color theme="5" tint="-0.249977111117893"/>
      <name val="Calibri"/>
      <family val="2"/>
      <charset val="238"/>
      <scheme val="minor"/>
    </font>
    <font>
      <sz val="12"/>
      <color theme="5" tint="-0.249977111117893"/>
      <name val="Arial"/>
      <family val="2"/>
      <charset val="238"/>
    </font>
    <font>
      <b/>
      <sz val="14"/>
      <color theme="5" tint="-0.249977111117893"/>
      <name val="Calibri"/>
      <family val="2"/>
      <charset val="238"/>
      <scheme val="minor"/>
    </font>
    <font>
      <b/>
      <sz val="11"/>
      <color theme="5" tint="-0.249977111117893"/>
      <name val="Arial"/>
      <family val="2"/>
      <charset val="238"/>
    </font>
    <font>
      <b/>
      <sz val="14"/>
      <color theme="5" tint="-0.249977111117893"/>
      <name val="Arial"/>
      <family val="2"/>
      <charset val="238"/>
    </font>
    <font>
      <b/>
      <sz val="20"/>
      <color theme="5" tint="-0.249977111117893"/>
      <name val="Arial"/>
      <family val="2"/>
      <charset val="238"/>
    </font>
    <font>
      <b/>
      <sz val="22"/>
      <color theme="5" tint="-0.249977111117893"/>
      <name val="Calibri"/>
      <family val="2"/>
      <charset val="238"/>
    </font>
    <font>
      <u/>
      <sz val="11"/>
      <color theme="5" tint="-0.249977111117893"/>
      <name val="Calibri"/>
      <family val="2"/>
      <charset val="238"/>
    </font>
    <font>
      <sz val="11"/>
      <color theme="5" tint="-0.249977111117893"/>
      <name val="Calibri"/>
      <family val="2"/>
      <charset val="238"/>
      <scheme val="minor"/>
    </font>
    <font>
      <u/>
      <sz val="11"/>
      <color theme="5" tint="-0.249977111117893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0E8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9FCF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217BFF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ADA3A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7D6D7"/>
        <bgColor rgb="FFD9D9D9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CC2E5"/>
        <bgColor rgb="FF9CC2E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medium">
        <color rgb="FFFFFF00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25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9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1" fontId="0" fillId="0" borderId="0" xfId="0" applyNumberFormat="1"/>
    <xf numFmtId="1" fontId="2" fillId="3" borderId="15" xfId="0" applyNumberFormat="1" applyFont="1" applyFill="1" applyBorder="1" applyAlignment="1">
      <alignment horizontal="center" vertical="center" wrapText="1"/>
    </xf>
    <xf numFmtId="0" fontId="5" fillId="13" borderId="15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0" fillId="14" borderId="0" xfId="0" applyFill="1"/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11" xfId="0" applyBorder="1"/>
    <xf numFmtId="1" fontId="9" fillId="0" borderId="0" xfId="0" applyNumberFormat="1" applyFont="1" applyAlignment="1">
      <alignment horizontal="center" vertical="center" wrapText="1"/>
    </xf>
    <xf numFmtId="0" fontId="10" fillId="16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9" fontId="2" fillId="3" borderId="15" xfId="2" applyFont="1" applyFill="1" applyBorder="1" applyAlignment="1">
      <alignment horizontal="center" vertical="center" wrapText="1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 wrapText="1"/>
    </xf>
    <xf numFmtId="9" fontId="5" fillId="0" borderId="0" xfId="2" applyFont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17" fillId="9" borderId="0" xfId="1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49" fontId="14" fillId="20" borderId="7" xfId="0" applyNumberFormat="1" applyFont="1" applyFill="1" applyBorder="1" applyAlignment="1">
      <alignment horizontal="center" vertical="center" wrapText="1"/>
    </xf>
    <xf numFmtId="49" fontId="14" fillId="20" borderId="8" xfId="0" applyNumberFormat="1" applyFont="1" applyFill="1" applyBorder="1" applyAlignment="1">
      <alignment horizontal="center" vertical="center" wrapText="1"/>
    </xf>
    <xf numFmtId="49" fontId="14" fillId="20" borderId="4" xfId="0" applyNumberFormat="1" applyFont="1" applyFill="1" applyBorder="1" applyAlignment="1">
      <alignment horizontal="center" vertical="center" wrapText="1"/>
    </xf>
    <xf numFmtId="49" fontId="14" fillId="20" borderId="2" xfId="0" applyNumberFormat="1" applyFont="1" applyFill="1" applyBorder="1" applyAlignment="1">
      <alignment horizontal="center" vertical="center" wrapText="1"/>
    </xf>
    <xf numFmtId="0" fontId="18" fillId="21" borderId="10" xfId="0" applyFont="1" applyFill="1" applyBorder="1" applyAlignment="1">
      <alignment horizontal="center" vertical="center"/>
    </xf>
    <xf numFmtId="0" fontId="18" fillId="21" borderId="11" xfId="0" applyFont="1" applyFill="1" applyBorder="1" applyAlignment="1">
      <alignment horizontal="center" vertical="center"/>
    </xf>
    <xf numFmtId="0" fontId="18" fillId="21" borderId="6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16" fillId="18" borderId="8" xfId="0" applyFont="1" applyFill="1" applyBorder="1" applyAlignment="1">
      <alignment horizontal="center" vertical="center"/>
    </xf>
    <xf numFmtId="0" fontId="16" fillId="18" borderId="4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center" vertical="center"/>
    </xf>
    <xf numFmtId="0" fontId="16" fillId="18" borderId="6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4" xfId="0" applyFont="1" applyFill="1" applyBorder="1"/>
    <xf numFmtId="0" fontId="3" fillId="2" borderId="12" xfId="0" applyFont="1" applyFill="1" applyBorder="1"/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/>
    <xf numFmtId="0" fontId="3" fillId="2" borderId="11" xfId="0" applyFont="1" applyFill="1" applyBorder="1"/>
    <xf numFmtId="0" fontId="3" fillId="2" borderId="6" xfId="0" applyFont="1" applyFill="1" applyBorder="1"/>
    <xf numFmtId="0" fontId="3" fillId="2" borderId="14" xfId="0" applyFont="1" applyFill="1" applyBorder="1"/>
    <xf numFmtId="0" fontId="3" fillId="2" borderId="14" xfId="0" applyFont="1" applyFill="1" applyBorder="1" applyAlignment="1">
      <alignment horizontal="center" vertical="center"/>
    </xf>
    <xf numFmtId="0" fontId="16" fillId="19" borderId="7" xfId="0" applyFont="1" applyFill="1" applyBorder="1" applyAlignment="1">
      <alignment horizontal="center" vertical="center"/>
    </xf>
    <xf numFmtId="0" fontId="16" fillId="19" borderId="8" xfId="0" applyFont="1" applyFill="1" applyBorder="1" applyAlignment="1">
      <alignment horizontal="center" vertical="center"/>
    </xf>
    <xf numFmtId="0" fontId="16" fillId="19" borderId="4" xfId="0" applyFont="1" applyFill="1" applyBorder="1" applyAlignment="1">
      <alignment horizontal="center" vertical="center"/>
    </xf>
    <xf numFmtId="0" fontId="16" fillId="19" borderId="10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19" borderId="6" xfId="0" applyFont="1" applyFill="1" applyBorder="1" applyAlignment="1">
      <alignment horizontal="center" vertical="center"/>
    </xf>
    <xf numFmtId="0" fontId="16" fillId="22" borderId="7" xfId="0" applyFont="1" applyFill="1" applyBorder="1" applyAlignment="1">
      <alignment horizontal="center" vertical="center"/>
    </xf>
    <xf numFmtId="0" fontId="16" fillId="22" borderId="8" xfId="0" applyFont="1" applyFill="1" applyBorder="1" applyAlignment="1">
      <alignment horizontal="center" vertical="center"/>
    </xf>
    <xf numFmtId="0" fontId="16" fillId="22" borderId="4" xfId="0" applyFont="1" applyFill="1" applyBorder="1" applyAlignment="1">
      <alignment horizontal="center" vertical="center"/>
    </xf>
    <xf numFmtId="0" fontId="16" fillId="22" borderId="10" xfId="0" applyFont="1" applyFill="1" applyBorder="1" applyAlignment="1">
      <alignment horizontal="center" vertical="center"/>
    </xf>
    <xf numFmtId="0" fontId="16" fillId="22" borderId="11" xfId="0" applyFont="1" applyFill="1" applyBorder="1" applyAlignment="1">
      <alignment horizontal="center" vertical="center"/>
    </xf>
    <xf numFmtId="0" fontId="16" fillId="22" borderId="6" xfId="0" applyFont="1" applyFill="1" applyBorder="1" applyAlignment="1">
      <alignment horizontal="center" vertical="center"/>
    </xf>
    <xf numFmtId="0" fontId="13" fillId="22" borderId="2" xfId="0" applyFont="1" applyFill="1" applyBorder="1" applyAlignment="1">
      <alignment horizontal="center" vertical="center"/>
    </xf>
    <xf numFmtId="0" fontId="19" fillId="0" borderId="0" xfId="0" applyFont="1"/>
    <xf numFmtId="0" fontId="20" fillId="3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16" fillId="17" borderId="7" xfId="0" applyFont="1" applyFill="1" applyBorder="1" applyAlignment="1">
      <alignment horizontal="center" vertical="center"/>
    </xf>
    <xf numFmtId="0" fontId="16" fillId="17" borderId="8" xfId="0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16" fillId="17" borderId="10" xfId="0" applyFont="1" applyFill="1" applyBorder="1" applyAlignment="1">
      <alignment horizontal="center" vertical="center"/>
    </xf>
    <xf numFmtId="0" fontId="16" fillId="17" borderId="11" xfId="0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center" vertical="center"/>
    </xf>
    <xf numFmtId="0" fontId="1" fillId="24" borderId="16" xfId="0" applyFont="1" applyFill="1" applyBorder="1"/>
    <xf numFmtId="0" fontId="23" fillId="24" borderId="23" xfId="0" applyFont="1" applyFill="1" applyBorder="1" applyAlignment="1">
      <alignment horizontal="center" vertical="center"/>
    </xf>
    <xf numFmtId="0" fontId="1" fillId="24" borderId="3" xfId="0" applyFont="1" applyFill="1" applyBorder="1"/>
    <xf numFmtId="9" fontId="5" fillId="0" borderId="0" xfId="2" applyFont="1" applyFill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1" fontId="1" fillId="9" borderId="0" xfId="0" applyNumberFormat="1" applyFont="1" applyFill="1"/>
    <xf numFmtId="1" fontId="9" fillId="9" borderId="0" xfId="0" applyNumberFormat="1" applyFont="1" applyFill="1" applyAlignment="1">
      <alignment horizontal="center" vertical="center" wrapText="1"/>
    </xf>
    <xf numFmtId="1" fontId="15" fillId="9" borderId="0" xfId="0" applyNumberFormat="1" applyFont="1" applyFill="1" applyAlignment="1">
      <alignment horizontal="center" vertical="center" wrapText="1"/>
    </xf>
    <xf numFmtId="9" fontId="5" fillId="9" borderId="0" xfId="2" applyFont="1" applyFill="1" applyAlignment="1">
      <alignment horizontal="center" vertical="center"/>
    </xf>
    <xf numFmtId="49" fontId="14" fillId="9" borderId="7" xfId="0" applyNumberFormat="1" applyFont="1" applyFill="1" applyBorder="1" applyAlignment="1">
      <alignment horizontal="center" vertical="center" wrapText="1"/>
    </xf>
    <xf numFmtId="1" fontId="13" fillId="9" borderId="10" xfId="0" applyNumberFormat="1" applyFont="1" applyFill="1" applyBorder="1" applyAlignment="1">
      <alignment horizontal="center" vertical="center" wrapText="1"/>
    </xf>
    <xf numFmtId="1" fontId="0" fillId="9" borderId="0" xfId="0" applyNumberFormat="1" applyFill="1"/>
    <xf numFmtId="0" fontId="16" fillId="21" borderId="7" xfId="0" applyFont="1" applyFill="1" applyBorder="1" applyAlignment="1">
      <alignment horizontal="center" vertical="center"/>
    </xf>
    <xf numFmtId="0" fontId="16" fillId="21" borderId="8" xfId="0" applyFont="1" applyFill="1" applyBorder="1" applyAlignment="1">
      <alignment horizontal="center" vertical="center"/>
    </xf>
    <xf numFmtId="0" fontId="16" fillId="21" borderId="4" xfId="0" applyFont="1" applyFill="1" applyBorder="1" applyAlignment="1">
      <alignment horizontal="center" vertical="center"/>
    </xf>
    <xf numFmtId="0" fontId="16" fillId="21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21" borderId="2" xfId="0" applyFont="1" applyFill="1" applyBorder="1" applyAlignment="1">
      <alignment horizontal="center" vertical="center"/>
    </xf>
    <xf numFmtId="0" fontId="28" fillId="18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center" vertical="center"/>
    </xf>
    <xf numFmtId="0" fontId="25" fillId="22" borderId="2" xfId="0" applyFont="1" applyFill="1" applyBorder="1" applyAlignment="1">
      <alignment horizontal="center" vertical="center"/>
    </xf>
    <xf numFmtId="0" fontId="25" fillId="17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9" fillId="9" borderId="0" xfId="1" applyFont="1" applyFill="1" applyAlignment="1">
      <alignment horizontal="left" vertical="center" wrapText="1"/>
    </xf>
    <xf numFmtId="0" fontId="26" fillId="0" borderId="16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49" fontId="14" fillId="20" borderId="9" xfId="0" applyNumberFormat="1" applyFont="1" applyFill="1" applyBorder="1" applyAlignment="1">
      <alignment horizontal="center" vertical="center" wrapText="1"/>
    </xf>
    <xf numFmtId="49" fontId="14" fillId="20" borderId="0" xfId="0" applyNumberFormat="1" applyFont="1" applyFill="1" applyAlignment="1">
      <alignment horizontal="center" vertical="center" wrapText="1"/>
    </xf>
    <xf numFmtId="49" fontId="14" fillId="20" borderId="5" xfId="0" applyNumberFormat="1" applyFont="1" applyFill="1" applyBorder="1" applyAlignment="1">
      <alignment horizontal="center" vertical="center" wrapText="1"/>
    </xf>
    <xf numFmtId="1" fontId="13" fillId="3" borderId="12" xfId="0" applyNumberFormat="1" applyFont="1" applyFill="1" applyBorder="1" applyAlignment="1">
      <alignment horizontal="center" vertical="center" wrapText="1"/>
    </xf>
    <xf numFmtId="0" fontId="26" fillId="20" borderId="24" xfId="0" applyFont="1" applyFill="1" applyBorder="1" applyAlignment="1">
      <alignment horizontal="center" vertical="center"/>
    </xf>
    <xf numFmtId="0" fontId="13" fillId="26" borderId="2" xfId="0" applyFont="1" applyFill="1" applyBorder="1" applyAlignment="1">
      <alignment horizontal="center" vertical="center"/>
    </xf>
    <xf numFmtId="0" fontId="16" fillId="26" borderId="7" xfId="0" applyFont="1" applyFill="1" applyBorder="1" applyAlignment="1">
      <alignment horizontal="center" vertical="center"/>
    </xf>
    <xf numFmtId="0" fontId="16" fillId="26" borderId="8" xfId="0" applyFont="1" applyFill="1" applyBorder="1" applyAlignment="1">
      <alignment horizontal="center" vertical="center"/>
    </xf>
    <xf numFmtId="0" fontId="16" fillId="26" borderId="4" xfId="0" applyFont="1" applyFill="1" applyBorder="1" applyAlignment="1">
      <alignment horizontal="center" vertical="center"/>
    </xf>
    <xf numFmtId="0" fontId="16" fillId="26" borderId="10" xfId="0" applyFont="1" applyFill="1" applyBorder="1" applyAlignment="1">
      <alignment horizontal="center" vertical="center"/>
    </xf>
    <xf numFmtId="0" fontId="16" fillId="26" borderId="11" xfId="0" applyFont="1" applyFill="1" applyBorder="1" applyAlignment="1">
      <alignment horizontal="center" vertical="center"/>
    </xf>
    <xf numFmtId="0" fontId="16" fillId="26" borderId="6" xfId="0" applyFont="1" applyFill="1" applyBorder="1" applyAlignment="1">
      <alignment horizontal="center" vertical="center"/>
    </xf>
    <xf numFmtId="0" fontId="25" fillId="26" borderId="2" xfId="0" applyFont="1" applyFill="1" applyBorder="1" applyAlignment="1">
      <alignment horizontal="center" vertical="center"/>
    </xf>
    <xf numFmtId="9" fontId="15" fillId="0" borderId="0" xfId="0" applyNumberFormat="1" applyFont="1" applyAlignment="1">
      <alignment horizontal="center" vertical="center" wrapText="1"/>
    </xf>
    <xf numFmtId="49" fontId="30" fillId="20" borderId="2" xfId="0" applyNumberFormat="1" applyFont="1" applyFill="1" applyBorder="1" applyAlignment="1">
      <alignment horizontal="center" vertical="center" wrapText="1"/>
    </xf>
    <xf numFmtId="0" fontId="31" fillId="26" borderId="2" xfId="0" applyFont="1" applyFill="1" applyBorder="1" applyAlignment="1">
      <alignment horizontal="center" vertical="center" wrapText="1"/>
    </xf>
    <xf numFmtId="0" fontId="31" fillId="25" borderId="2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22" borderId="2" xfId="0" applyFont="1" applyFill="1" applyBorder="1" applyAlignment="1">
      <alignment horizontal="center" vertical="center" wrapText="1"/>
    </xf>
    <xf numFmtId="0" fontId="31" fillId="19" borderId="2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32" fillId="18" borderId="2" xfId="0" applyFont="1" applyFill="1" applyBorder="1" applyAlignment="1">
      <alignment horizontal="center" vertical="center" wrapText="1"/>
    </xf>
    <xf numFmtId="0" fontId="32" fillId="21" borderId="2" xfId="0" applyFont="1" applyFill="1" applyBorder="1" applyAlignment="1">
      <alignment horizontal="center" vertical="center" wrapText="1"/>
    </xf>
    <xf numFmtId="9" fontId="15" fillId="3" borderId="2" xfId="0" applyNumberFormat="1" applyFont="1" applyFill="1" applyBorder="1" applyAlignment="1">
      <alignment horizontal="center" vertical="center" wrapText="1"/>
    </xf>
    <xf numFmtId="0" fontId="16" fillId="27" borderId="7" xfId="0" applyFont="1" applyFill="1" applyBorder="1" applyAlignment="1">
      <alignment horizontal="center" vertical="center"/>
    </xf>
    <xf numFmtId="0" fontId="16" fillId="27" borderId="8" xfId="0" applyFont="1" applyFill="1" applyBorder="1" applyAlignment="1">
      <alignment horizontal="center" vertical="center"/>
    </xf>
    <xf numFmtId="0" fontId="16" fillId="27" borderId="4" xfId="0" applyFont="1" applyFill="1" applyBorder="1" applyAlignment="1">
      <alignment horizontal="center" vertical="center"/>
    </xf>
    <xf numFmtId="0" fontId="16" fillId="27" borderId="10" xfId="0" applyFont="1" applyFill="1" applyBorder="1" applyAlignment="1">
      <alignment horizontal="center" vertical="center"/>
    </xf>
    <xf numFmtId="0" fontId="16" fillId="27" borderId="11" xfId="0" applyFont="1" applyFill="1" applyBorder="1" applyAlignment="1">
      <alignment horizontal="center" vertical="center"/>
    </xf>
    <xf numFmtId="0" fontId="16" fillId="27" borderId="6" xfId="0" applyFont="1" applyFill="1" applyBorder="1" applyAlignment="1">
      <alignment horizontal="center" vertical="center"/>
    </xf>
    <xf numFmtId="0" fontId="31" fillId="27" borderId="2" xfId="0" applyFont="1" applyFill="1" applyBorder="1" applyAlignment="1">
      <alignment horizontal="center" vertical="center" wrapText="1"/>
    </xf>
    <xf numFmtId="0" fontId="25" fillId="27" borderId="2" xfId="0" applyFont="1" applyFill="1" applyBorder="1" applyAlignment="1">
      <alignment horizontal="center" vertical="center"/>
    </xf>
    <xf numFmtId="0" fontId="33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1" fontId="35" fillId="0" borderId="0" xfId="0" applyNumberFormat="1" applyFont="1"/>
    <xf numFmtId="0" fontId="35" fillId="0" borderId="0" xfId="0" applyFont="1"/>
    <xf numFmtId="0" fontId="35" fillId="0" borderId="0" xfId="0" applyFont="1" applyAlignment="1">
      <alignment horizontal="center" vertical="center"/>
    </xf>
    <xf numFmtId="9" fontId="36" fillId="0" borderId="0" xfId="0" applyNumberFormat="1" applyFont="1" applyAlignment="1">
      <alignment horizontal="center" vertical="center" wrapText="1"/>
    </xf>
    <xf numFmtId="16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/>
    </xf>
    <xf numFmtId="0" fontId="37" fillId="6" borderId="8" xfId="0" applyFont="1" applyFill="1" applyBorder="1" applyAlignment="1">
      <alignment horizontal="center" vertical="center"/>
    </xf>
    <xf numFmtId="0" fontId="37" fillId="6" borderId="4" xfId="0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0" fontId="37" fillId="6" borderId="11" xfId="0" applyFont="1" applyFill="1" applyBorder="1" applyAlignment="1">
      <alignment horizontal="center" vertical="center"/>
    </xf>
    <xf numFmtId="0" fontId="37" fillId="6" borderId="6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38" fillId="9" borderId="0" xfId="1" applyFont="1" applyFill="1" applyAlignment="1">
      <alignment horizontal="left" vertical="center" wrapText="1"/>
    </xf>
    <xf numFmtId="0" fontId="39" fillId="9" borderId="0" xfId="1" applyFont="1" applyFill="1" applyAlignment="1">
      <alignment horizontal="left" vertical="center" wrapText="1"/>
    </xf>
    <xf numFmtId="0" fontId="40" fillId="0" borderId="0" xfId="0" applyFont="1"/>
    <xf numFmtId="0" fontId="0" fillId="28" borderId="1" xfId="0" applyFill="1" applyBorder="1"/>
    <xf numFmtId="0" fontId="4" fillId="0" borderId="0" xfId="0" applyFont="1"/>
    <xf numFmtId="0" fontId="41" fillId="3" borderId="0" xfId="0" applyFont="1" applyFill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9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15" borderId="17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4" fillId="15" borderId="2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28" borderId="25" xfId="0" applyFont="1" applyFill="1" applyBorder="1" applyAlignment="1">
      <alignment vertical="center"/>
    </xf>
    <xf numFmtId="0" fontId="4" fillId="28" borderId="26" xfId="0" applyFont="1" applyFill="1" applyBorder="1" applyAlignment="1">
      <alignment vertical="center"/>
    </xf>
    <xf numFmtId="0" fontId="4" fillId="28" borderId="27" xfId="0" applyFont="1" applyFill="1" applyBorder="1" applyAlignment="1">
      <alignment vertical="center"/>
    </xf>
    <xf numFmtId="164" fontId="7" fillId="11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13" fillId="30" borderId="2" xfId="0" applyFont="1" applyFill="1" applyBorder="1" applyAlignment="1">
      <alignment horizontal="center" vertical="center"/>
    </xf>
    <xf numFmtId="0" fontId="25" fillId="30" borderId="2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center"/>
    </xf>
    <xf numFmtId="0" fontId="25" fillId="30" borderId="8" xfId="0" applyFont="1" applyFill="1" applyBorder="1" applyAlignment="1">
      <alignment horizontal="center" vertical="center"/>
    </xf>
    <xf numFmtId="0" fontId="25" fillId="30" borderId="4" xfId="0" applyFont="1" applyFill="1" applyBorder="1" applyAlignment="1">
      <alignment horizontal="center" vertical="center"/>
    </xf>
    <xf numFmtId="0" fontId="25" fillId="30" borderId="10" xfId="0" applyFont="1" applyFill="1" applyBorder="1" applyAlignment="1">
      <alignment horizontal="center" vertical="center"/>
    </xf>
    <xf numFmtId="0" fontId="25" fillId="30" borderId="11" xfId="0" applyFont="1" applyFill="1" applyBorder="1" applyAlignment="1">
      <alignment horizontal="center" vertical="center"/>
    </xf>
    <xf numFmtId="0" fontId="25" fillId="30" borderId="6" xfId="0" applyFont="1" applyFill="1" applyBorder="1" applyAlignment="1">
      <alignment horizontal="center" vertical="center"/>
    </xf>
    <xf numFmtId="0" fontId="26" fillId="23" borderId="1" xfId="0" applyFont="1" applyFill="1" applyBorder="1" applyAlignment="1">
      <alignment horizontal="center" vertical="center"/>
    </xf>
    <xf numFmtId="1" fontId="42" fillId="9" borderId="0" xfId="0" applyNumberFormat="1" applyFont="1" applyFill="1"/>
    <xf numFmtId="1" fontId="42" fillId="0" borderId="0" xfId="0" applyNumberFormat="1" applyFont="1"/>
    <xf numFmtId="0" fontId="42" fillId="0" borderId="0" xfId="0" applyFont="1"/>
    <xf numFmtId="1" fontId="43" fillId="9" borderId="0" xfId="0" applyNumberFormat="1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1" fontId="43" fillId="0" borderId="0" xfId="0" applyNumberFormat="1" applyFont="1" applyAlignment="1">
      <alignment horizontal="center" vertical="center" wrapText="1"/>
    </xf>
    <xf numFmtId="1" fontId="44" fillId="0" borderId="0" xfId="0" applyNumberFormat="1" applyFont="1" applyAlignment="1">
      <alignment horizontal="center" vertical="center"/>
    </xf>
    <xf numFmtId="0" fontId="45" fillId="29" borderId="2" xfId="0" applyFont="1" applyFill="1" applyBorder="1" applyAlignment="1">
      <alignment horizontal="center" vertical="center" wrapText="1"/>
    </xf>
    <xf numFmtId="9" fontId="46" fillId="0" borderId="0" xfId="0" applyNumberFormat="1" applyFont="1" applyAlignment="1">
      <alignment horizontal="center" vertical="center" wrapText="1"/>
    </xf>
    <xf numFmtId="9" fontId="46" fillId="3" borderId="2" xfId="0" applyNumberFormat="1" applyFont="1" applyFill="1" applyBorder="1" applyAlignment="1">
      <alignment horizontal="center" vertical="center" wrapText="1"/>
    </xf>
    <xf numFmtId="1" fontId="46" fillId="9" borderId="0" xfId="0" applyNumberFormat="1" applyFont="1" applyFill="1" applyAlignment="1">
      <alignment horizontal="center" vertical="center" wrapText="1"/>
    </xf>
    <xf numFmtId="16" fontId="44" fillId="0" borderId="0" xfId="0" applyNumberFormat="1" applyFont="1" applyAlignment="1">
      <alignment horizontal="center" vertical="center"/>
    </xf>
    <xf numFmtId="1" fontId="46" fillId="0" borderId="0" xfId="0" applyNumberFormat="1" applyFont="1" applyAlignment="1">
      <alignment horizontal="center" vertical="center" wrapText="1"/>
    </xf>
    <xf numFmtId="9" fontId="44" fillId="9" borderId="0" xfId="2" applyFont="1" applyFill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9" fontId="44" fillId="0" borderId="0" xfId="2" applyFont="1" applyAlignment="1">
      <alignment horizontal="center" vertical="center"/>
    </xf>
    <xf numFmtId="49" fontId="47" fillId="9" borderId="7" xfId="0" applyNumberFormat="1" applyFont="1" applyFill="1" applyBorder="1" applyAlignment="1">
      <alignment horizontal="center" vertical="center" wrapText="1"/>
    </xf>
    <xf numFmtId="1" fontId="47" fillId="9" borderId="10" xfId="0" applyNumberFormat="1" applyFont="1" applyFill="1" applyBorder="1" applyAlignment="1">
      <alignment horizontal="center" vertical="center" wrapText="1"/>
    </xf>
    <xf numFmtId="0" fontId="48" fillId="9" borderId="2" xfId="0" applyFont="1" applyFill="1" applyBorder="1" applyAlignment="1">
      <alignment horizontal="center" vertical="center"/>
    </xf>
    <xf numFmtId="0" fontId="48" fillId="29" borderId="2" xfId="0" applyFont="1" applyFill="1" applyBorder="1" applyAlignment="1">
      <alignment horizontal="center" vertical="center"/>
    </xf>
    <xf numFmtId="0" fontId="49" fillId="9" borderId="0" xfId="1" applyFont="1" applyFill="1" applyAlignment="1">
      <alignment horizontal="left" vertical="center" wrapText="1"/>
    </xf>
    <xf numFmtId="1" fontId="50" fillId="9" borderId="0" xfId="0" applyNumberFormat="1" applyFont="1" applyFill="1"/>
    <xf numFmtId="0" fontId="51" fillId="9" borderId="0" xfId="1" applyFont="1" applyFill="1" applyAlignment="1">
      <alignment horizontal="left" vertical="center" wrapText="1"/>
    </xf>
    <xf numFmtId="0" fontId="50" fillId="0" borderId="0" xfId="0" applyFont="1"/>
    <xf numFmtId="1" fontId="50" fillId="0" borderId="0" xfId="0" applyNumberFormat="1" applyFont="1"/>
    <xf numFmtId="0" fontId="27" fillId="18" borderId="2" xfId="0" applyFont="1" applyFill="1" applyBorder="1" applyAlignment="1">
      <alignment horizontal="center" vertical="center"/>
    </xf>
    <xf numFmtId="0" fontId="26" fillId="31" borderId="24" xfId="0" applyFont="1" applyFill="1" applyBorder="1" applyAlignment="1">
      <alignment horizontal="center" vertical="center"/>
    </xf>
    <xf numFmtId="49" fontId="14" fillId="32" borderId="7" xfId="0" applyNumberFormat="1" applyFont="1" applyFill="1" applyBorder="1" applyAlignment="1">
      <alignment horizontal="center" vertical="center" wrapText="1"/>
    </xf>
    <xf numFmtId="49" fontId="14" fillId="32" borderId="8" xfId="0" applyNumberFormat="1" applyFont="1" applyFill="1" applyBorder="1" applyAlignment="1">
      <alignment horizontal="center" vertical="center" wrapText="1"/>
    </xf>
    <xf numFmtId="49" fontId="14" fillId="32" borderId="4" xfId="0" applyNumberFormat="1" applyFont="1" applyFill="1" applyBorder="1" applyAlignment="1">
      <alignment horizontal="center" vertical="center" wrapText="1"/>
    </xf>
    <xf numFmtId="49" fontId="14" fillId="32" borderId="9" xfId="0" applyNumberFormat="1" applyFont="1" applyFill="1" applyBorder="1" applyAlignment="1">
      <alignment horizontal="center" vertical="center" wrapText="1"/>
    </xf>
    <xf numFmtId="49" fontId="14" fillId="32" borderId="0" xfId="0" applyNumberFormat="1" applyFont="1" applyFill="1" applyAlignment="1">
      <alignment horizontal="center" vertical="center" wrapText="1"/>
    </xf>
    <xf numFmtId="49" fontId="14" fillId="32" borderId="5" xfId="0" applyNumberFormat="1" applyFont="1" applyFill="1" applyBorder="1" applyAlignment="1">
      <alignment horizontal="center" vertical="center" wrapText="1"/>
    </xf>
    <xf numFmtId="49" fontId="13" fillId="32" borderId="2" xfId="0" applyNumberFormat="1" applyFont="1" applyFill="1" applyBorder="1" applyAlignment="1">
      <alignment horizontal="center" vertical="center" wrapText="1"/>
    </xf>
    <xf numFmtId="0" fontId="26" fillId="23" borderId="2" xfId="0" applyFont="1" applyFill="1" applyBorder="1" applyAlignment="1">
      <alignment horizontal="center" vertical="center"/>
    </xf>
    <xf numFmtId="0" fontId="26" fillId="23" borderId="3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9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 wrapText="1"/>
    </xf>
    <xf numFmtId="0" fontId="27" fillId="34" borderId="30" xfId="0" applyFont="1" applyFill="1" applyBorder="1" applyAlignment="1">
      <alignment horizontal="center" vertical="center"/>
    </xf>
    <xf numFmtId="0" fontId="27" fillId="29" borderId="2" xfId="0" applyFont="1" applyFill="1" applyBorder="1" applyAlignment="1">
      <alignment horizontal="center" vertical="center"/>
    </xf>
    <xf numFmtId="0" fontId="25" fillId="29" borderId="2" xfId="0" applyFont="1" applyFill="1" applyBorder="1" applyAlignment="1">
      <alignment horizontal="center" vertical="center"/>
    </xf>
    <xf numFmtId="0" fontId="26" fillId="33" borderId="31" xfId="0" applyFont="1" applyFill="1" applyBorder="1" applyAlignment="1">
      <alignment horizontal="center" vertical="center"/>
    </xf>
    <xf numFmtId="0" fontId="26" fillId="33" borderId="32" xfId="0" applyFont="1" applyFill="1" applyBorder="1" applyAlignment="1">
      <alignment horizontal="center" vertical="center"/>
    </xf>
    <xf numFmtId="0" fontId="26" fillId="23" borderId="14" xfId="0" applyFont="1" applyFill="1" applyBorder="1" applyAlignment="1">
      <alignment horizontal="center" vertical="center"/>
    </xf>
    <xf numFmtId="0" fontId="26" fillId="23" borderId="6" xfId="0" applyFont="1" applyFill="1" applyBorder="1" applyAlignment="1">
      <alignment horizontal="center" vertical="center"/>
    </xf>
    <xf numFmtId="0" fontId="24" fillId="14" borderId="12" xfId="0" applyFont="1" applyFill="1" applyBorder="1" applyAlignment="1">
      <alignment horizontal="center" vertical="center" textRotation="90" wrapText="1"/>
    </xf>
    <xf numFmtId="0" fontId="24" fillId="14" borderId="13" xfId="0" applyFont="1" applyFill="1" applyBorder="1" applyAlignment="1">
      <alignment horizontal="center" vertical="center" textRotation="90" wrapText="1"/>
    </xf>
    <xf numFmtId="0" fontId="24" fillId="14" borderId="14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 vertical="center"/>
    </xf>
    <xf numFmtId="0" fontId="3" fillId="12" borderId="23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3">
    <cellStyle name="Hypertextový odkaz" xfId="1" builtinId="8"/>
    <cellStyle name="Normální" xfId="0" builtinId="0"/>
    <cellStyle name="Procenta" xfId="2" builtinId="5"/>
  </cellStyles>
  <dxfs count="116"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2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  <color theme="1"/>
      </font>
      <fill>
        <patternFill>
          <bgColor theme="2" tint="-0.24994659260841701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000000"/>
      </font>
      <fill>
        <patternFill>
          <bgColor theme="7" tint="0.59959715567491678"/>
        </patternFill>
      </fill>
    </dxf>
    <dxf>
      <font>
        <b/>
        <i val="0"/>
        <color rgb="FFC00000"/>
      </font>
      <fill>
        <patternFill>
          <bgColor rgb="FFEAEAEA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rgb="FFCCFFCC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FFFF00"/>
      </font>
      <fill>
        <patternFill>
          <bgColor rgb="FF9933FF"/>
        </patternFill>
      </fill>
    </dxf>
    <dxf>
      <font>
        <b/>
        <i val="0"/>
        <color rgb="FF000000"/>
      </font>
      <fill>
        <patternFill>
          <bgColor theme="4" tint="0.79979857783745845"/>
        </patternFill>
      </fill>
    </dxf>
    <dxf>
      <font>
        <b/>
        <i val="0"/>
        <color theme="1"/>
      </font>
      <fill>
        <patternFill>
          <bgColor theme="7" tint="0.79998168889431442"/>
        </patternFill>
      </fill>
    </dxf>
    <dxf>
      <font>
        <b/>
        <i val="0"/>
        <color theme="1"/>
      </font>
      <fill>
        <patternFill>
          <bgColor theme="7" tint="-0.24994659260841701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2" tint="-0.24994659260841701"/>
        </patternFill>
      </fill>
    </dxf>
  </dxfs>
  <tableStyles count="0" defaultTableStyle="TableStyleMedium2" defaultPivotStyle="PivotStyleLight16"/>
  <colors>
    <mruColors>
      <color rgb="FFCC0066"/>
      <color rgb="FFCC3300"/>
      <color rgb="FF00CCFF"/>
      <color rgb="FFFF9900"/>
      <color rgb="FFFFCCFF"/>
      <color rgb="FFFF99FF"/>
      <color rgb="FF1ADA3A"/>
      <color rgb="FF431ADA"/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124586</xdr:colOff>
      <xdr:row>8</xdr:row>
      <xdr:rowOff>289034</xdr:rowOff>
    </xdr:from>
    <xdr:to>
      <xdr:col>4</xdr:col>
      <xdr:colOff>8833</xdr:colOff>
      <xdr:row>14</xdr:row>
      <xdr:rowOff>32844</xdr:rowOff>
    </xdr:to>
    <xdr:pic>
      <xdr:nvPicPr>
        <xdr:cNvPr id="3" name="Obrázek 2" descr="Oficiální webové stránky Bohemians Praha 1905">
          <a:extLst>
            <a:ext uri="{FF2B5EF4-FFF2-40B4-BE49-F238E27FC236}">
              <a16:creationId xmlns:a16="http://schemas.microsoft.com/office/drawing/2014/main" id="{BF9AE8B2-D1A9-ADAB-112E-2CFFBFDD3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500" y="1819603"/>
          <a:ext cx="1874643" cy="1872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165179</xdr:colOff>
      <xdr:row>14</xdr:row>
      <xdr:rowOff>256189</xdr:rowOff>
    </xdr:from>
    <xdr:to>
      <xdr:col>3</xdr:col>
      <xdr:colOff>502472</xdr:colOff>
      <xdr:row>20</xdr:row>
      <xdr:rowOff>32845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AB225E6F-3B5D-4FAC-F5FC-7991590BF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093" y="3915103"/>
          <a:ext cx="1716776" cy="1905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518948</xdr:colOff>
      <xdr:row>14</xdr:row>
      <xdr:rowOff>337515</xdr:rowOff>
    </xdr:from>
    <xdr:to>
      <xdr:col>7</xdr:col>
      <xdr:colOff>532086</xdr:colOff>
      <xdr:row>20</xdr:row>
      <xdr:rowOff>60719</xdr:rowOff>
    </xdr:to>
    <xdr:pic>
      <xdr:nvPicPr>
        <xdr:cNvPr id="5" name="Obrázek 4" descr="Borussia Dortmund – Wikipedie">
          <a:extLst>
            <a:ext uri="{FF2B5EF4-FFF2-40B4-BE49-F238E27FC236}">
              <a16:creationId xmlns:a16="http://schemas.microsoft.com/office/drawing/2014/main" id="{F9D087EC-5C65-8845-B881-863B7F1A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0258" y="3996429"/>
          <a:ext cx="1845880" cy="1844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542076</xdr:colOff>
      <xdr:row>6</xdr:row>
      <xdr:rowOff>157655</xdr:rowOff>
    </xdr:from>
    <xdr:to>
      <xdr:col>7</xdr:col>
      <xdr:colOff>520918</xdr:colOff>
      <xdr:row>14</xdr:row>
      <xdr:rowOff>55506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2BCBDA57-B388-1637-CF6E-95555D3AB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386" y="1300655"/>
          <a:ext cx="1811584" cy="2413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236485</xdr:colOff>
      <xdr:row>8</xdr:row>
      <xdr:rowOff>65689</xdr:rowOff>
    </xdr:from>
    <xdr:to>
      <xdr:col>17</xdr:col>
      <xdr:colOff>216777</xdr:colOff>
      <xdr:row>13</xdr:row>
      <xdr:rowOff>113423</xdr:rowOff>
    </xdr:to>
    <xdr:pic>
      <xdr:nvPicPr>
        <xdr:cNvPr id="6" name="Obrázek 5" descr="Chelsea F.C. - Wikipedia">
          <a:extLst>
            <a:ext uri="{FF2B5EF4-FFF2-40B4-BE49-F238E27FC236}">
              <a16:creationId xmlns:a16="http://schemas.microsoft.com/office/drawing/2014/main" id="{22431DB3-30F3-9E64-360A-841BC024D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2657" y="1596258"/>
          <a:ext cx="1813034" cy="182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0066"/>
  </sheetPr>
  <dimension ref="A1:BQ284"/>
  <sheetViews>
    <sheetView showGridLines="0" tabSelected="1" zoomScale="70" zoomScaleNormal="70" workbookViewId="0">
      <pane xSplit="9" ySplit="8" topLeftCell="J26" activePane="bottomRight" state="frozen"/>
      <selection pane="topRight" activeCell="H1" sqref="H1"/>
      <selection pane="bottomLeft" activeCell="A9" sqref="A9"/>
      <selection pane="bottomRight" activeCell="BQ35" sqref="BQ35"/>
    </sheetView>
  </sheetViews>
  <sheetFormatPr defaultRowHeight="28.5" x14ac:dyDescent="0.45"/>
  <cols>
    <col min="1" max="1" width="35" customWidth="1"/>
    <col min="2" max="2" width="13.140625" customWidth="1"/>
    <col min="3" max="3" width="35" customWidth="1"/>
    <col min="4" max="4" width="40.85546875" customWidth="1"/>
    <col min="5" max="5" width="13.5703125" customWidth="1"/>
    <col min="6" max="6" width="7.140625" style="5" customWidth="1"/>
    <col min="7" max="9" width="7.5703125" customWidth="1"/>
    <col min="10" max="10" width="3.42578125" style="7" customWidth="1"/>
    <col min="11" max="11" width="6.5703125" customWidth="1"/>
    <col min="12" max="13" width="7.5703125" customWidth="1"/>
    <col min="14" max="14" width="20.5703125" style="7" customWidth="1"/>
    <col min="15" max="15" width="3.42578125" style="7" customWidth="1"/>
    <col min="16" max="18" width="7.5703125" customWidth="1"/>
    <col min="19" max="19" width="20.5703125" style="7" customWidth="1"/>
    <col min="20" max="20" width="4.140625" style="7" customWidth="1"/>
    <col min="21" max="23" width="7.5703125" customWidth="1"/>
    <col min="24" max="24" width="20.5703125" style="7" customWidth="1"/>
    <col min="25" max="25" width="3.5703125" style="7" customWidth="1"/>
    <col min="26" max="28" width="7.5703125" style="168" customWidth="1"/>
    <col min="29" max="29" width="20.5703125" style="7" customWidth="1"/>
    <col min="30" max="30" width="3.5703125" style="7" customWidth="1"/>
    <col min="31" max="33" width="6.5703125" customWidth="1"/>
    <col min="34" max="34" width="20.5703125" style="7" customWidth="1"/>
    <col min="35" max="35" width="3.5703125" style="7" customWidth="1"/>
    <col min="36" max="38" width="6.5703125" customWidth="1"/>
    <col min="39" max="39" width="20.5703125" style="7" customWidth="1"/>
    <col min="40" max="40" width="3.5703125" style="7" customWidth="1"/>
    <col min="41" max="43" width="6.5703125" customWidth="1"/>
    <col min="44" max="44" width="20.5703125" style="7" customWidth="1"/>
    <col min="45" max="45" width="3.5703125" style="101" customWidth="1"/>
    <col min="46" max="47" width="6.5703125" customWidth="1"/>
    <col min="48" max="48" width="7.5703125" customWidth="1"/>
    <col min="49" max="49" width="20.5703125" style="7" customWidth="1"/>
    <col min="50" max="50" width="3.5703125" style="101" customWidth="1"/>
    <col min="51" max="52" width="6.5703125" customWidth="1"/>
    <col min="53" max="53" width="7.5703125" customWidth="1"/>
    <col min="54" max="54" width="20.5703125" style="7" customWidth="1"/>
    <col min="55" max="55" width="3.5703125" style="101" customWidth="1"/>
    <col min="56" max="57" width="6.5703125" customWidth="1"/>
    <col min="58" max="58" width="7.5703125" customWidth="1"/>
    <col min="59" max="59" width="20.5703125" style="7" customWidth="1"/>
    <col min="60" max="60" width="3.5703125" style="219" customWidth="1"/>
    <col min="61" max="62" width="6.5703125" style="221" customWidth="1"/>
    <col min="63" max="63" width="7.5703125" style="221" customWidth="1"/>
    <col min="64" max="64" width="20.5703125" style="222" customWidth="1"/>
    <col min="65" max="65" width="3.5703125" style="219" customWidth="1"/>
    <col min="66" max="67" width="6.5703125" style="221" customWidth="1"/>
    <col min="68" max="68" width="7.5703125" style="221" customWidth="1"/>
    <col min="69" max="69" width="20.5703125" style="222" customWidth="1"/>
  </cols>
  <sheetData>
    <row r="1" spans="1:69" s="1" customFormat="1" ht="29.25" thickBot="1" x14ac:dyDescent="0.5">
      <c r="F1" s="4"/>
      <c r="G1" s="2"/>
      <c r="H1" s="2"/>
      <c r="J1" s="2"/>
      <c r="K1" s="2"/>
      <c r="L1" s="2"/>
      <c r="N1" s="2"/>
      <c r="O1" s="2"/>
      <c r="P1" s="2"/>
      <c r="Q1" s="2"/>
      <c r="S1" s="2"/>
      <c r="T1" s="2"/>
      <c r="U1" s="2"/>
      <c r="V1" s="2"/>
      <c r="X1" s="2"/>
      <c r="Y1" s="2"/>
      <c r="Z1" s="153"/>
      <c r="AA1" s="153"/>
      <c r="AB1" s="154"/>
      <c r="AC1" s="2"/>
      <c r="AD1" s="2"/>
      <c r="AE1" s="2"/>
      <c r="AF1" s="2"/>
      <c r="AH1" s="2"/>
      <c r="AI1" s="2"/>
      <c r="AJ1" s="2"/>
      <c r="AK1" s="2"/>
      <c r="AM1" s="2"/>
      <c r="AN1" s="2"/>
      <c r="AO1" s="2"/>
      <c r="AP1" s="2"/>
      <c r="AR1" s="2"/>
      <c r="AS1" s="95"/>
      <c r="AT1" s="2"/>
      <c r="AU1" s="2"/>
      <c r="AW1" s="2"/>
      <c r="AX1" s="95"/>
      <c r="AY1" s="2"/>
      <c r="AZ1" s="2"/>
      <c r="BB1" s="2"/>
      <c r="BC1" s="95"/>
      <c r="BD1" s="2"/>
      <c r="BE1" s="2"/>
      <c r="BG1" s="2"/>
      <c r="BH1" s="198"/>
      <c r="BI1" s="199"/>
      <c r="BJ1" s="199"/>
      <c r="BK1" s="200"/>
      <c r="BL1" s="199"/>
      <c r="BM1" s="198"/>
      <c r="BN1" s="199"/>
      <c r="BO1" s="199"/>
      <c r="BP1" s="200"/>
      <c r="BQ1" s="199"/>
    </row>
    <row r="2" spans="1:69" s="1" customFormat="1" ht="18.600000000000001" customHeight="1" thickBot="1" x14ac:dyDescent="0.4">
      <c r="A2" s="247" t="s">
        <v>0</v>
      </c>
      <c r="B2" s="248"/>
      <c r="C2" s="248"/>
      <c r="D2" s="249"/>
      <c r="E2" s="45"/>
      <c r="F2" s="46"/>
      <c r="G2" s="17"/>
      <c r="H2" s="17"/>
      <c r="I2" s="17"/>
      <c r="J2" s="15"/>
      <c r="K2" s="17"/>
      <c r="L2" s="17"/>
      <c r="M2" s="17"/>
      <c r="N2" s="15"/>
      <c r="O2" s="15"/>
      <c r="P2" s="17"/>
      <c r="Q2" s="17"/>
      <c r="R2" s="17"/>
      <c r="S2" s="15"/>
      <c r="T2" s="15"/>
      <c r="U2" s="17"/>
      <c r="V2" s="17"/>
      <c r="W2" s="17"/>
      <c r="X2" s="15"/>
      <c r="Y2" s="15"/>
      <c r="Z2" s="155"/>
      <c r="AA2" s="155"/>
      <c r="AB2" s="155"/>
      <c r="AC2" s="19"/>
      <c r="AD2" s="15"/>
      <c r="AE2" s="17"/>
      <c r="AF2" s="17"/>
      <c r="AG2" s="17"/>
      <c r="AH2" s="15"/>
      <c r="AI2" s="15"/>
      <c r="AJ2" s="17"/>
      <c r="AK2" s="17"/>
      <c r="AL2" s="17"/>
      <c r="AM2" s="15"/>
      <c r="AN2" s="15"/>
      <c r="AO2" s="17"/>
      <c r="AP2" s="17"/>
      <c r="AQ2" s="17"/>
      <c r="AR2" s="15"/>
      <c r="AS2" s="96"/>
      <c r="AT2" s="17"/>
      <c r="AU2" s="17"/>
      <c r="AV2" s="17"/>
      <c r="AW2" s="15"/>
      <c r="AX2" s="96"/>
      <c r="AY2" s="17"/>
      <c r="AZ2" s="17"/>
      <c r="BA2" s="17"/>
      <c r="BB2" s="15"/>
      <c r="BC2" s="96"/>
      <c r="BD2" s="17"/>
      <c r="BE2" s="17"/>
      <c r="BF2" s="17"/>
      <c r="BG2" s="15"/>
      <c r="BH2" s="201"/>
      <c r="BI2" s="202"/>
      <c r="BJ2" s="202"/>
      <c r="BK2" s="202"/>
      <c r="BL2" s="203"/>
      <c r="BM2" s="201"/>
      <c r="BN2" s="202"/>
      <c r="BO2" s="202"/>
      <c r="BP2" s="202"/>
      <c r="BQ2" s="203"/>
    </row>
    <row r="3" spans="1:69" s="1" customFormat="1" ht="30.75" thickBot="1" x14ac:dyDescent="0.5">
      <c r="A3" s="47" t="s">
        <v>1</v>
      </c>
      <c r="B3" s="48"/>
      <c r="C3" s="48"/>
      <c r="D3" s="49"/>
      <c r="E3" s="50"/>
      <c r="F3" s="51">
        <v>15</v>
      </c>
      <c r="G3" s="17"/>
      <c r="H3" s="17"/>
      <c r="I3" s="10"/>
      <c r="J3" s="15"/>
      <c r="K3" s="17"/>
      <c r="L3" s="17"/>
      <c r="M3" s="10"/>
      <c r="N3" s="133" t="s">
        <v>35</v>
      </c>
      <c r="O3" s="15"/>
      <c r="P3" s="17"/>
      <c r="Q3" s="17"/>
      <c r="R3" s="10"/>
      <c r="S3" s="141" t="s">
        <v>35</v>
      </c>
      <c r="T3" s="15"/>
      <c r="U3" s="17"/>
      <c r="V3" s="17"/>
      <c r="W3" s="10"/>
      <c r="X3" s="140" t="s">
        <v>35</v>
      </c>
      <c r="Y3" s="15"/>
      <c r="Z3" s="155"/>
      <c r="AA3" s="155"/>
      <c r="AB3" s="154"/>
      <c r="AC3" s="139" t="s">
        <v>35</v>
      </c>
      <c r="AD3" s="15"/>
      <c r="AE3" s="17"/>
      <c r="AF3" s="17"/>
      <c r="AG3" s="10"/>
      <c r="AH3" s="138" t="s">
        <v>35</v>
      </c>
      <c r="AI3" s="15"/>
      <c r="AJ3" s="17"/>
      <c r="AK3" s="17"/>
      <c r="AL3" s="10"/>
      <c r="AM3" s="137" t="s">
        <v>35</v>
      </c>
      <c r="AN3" s="15"/>
      <c r="AO3" s="17"/>
      <c r="AP3" s="17"/>
      <c r="AQ3" s="10"/>
      <c r="AR3" s="136" t="s">
        <v>35</v>
      </c>
      <c r="AS3" s="96"/>
      <c r="AT3" s="17"/>
      <c r="AU3" s="17"/>
      <c r="AV3" s="10"/>
      <c r="AW3" s="135" t="s">
        <v>35</v>
      </c>
      <c r="AX3" s="96"/>
      <c r="AY3" s="17"/>
      <c r="AZ3" s="17"/>
      <c r="BA3" s="10"/>
      <c r="BB3" s="134" t="s">
        <v>35</v>
      </c>
      <c r="BC3" s="96"/>
      <c r="BD3" s="17"/>
      <c r="BE3" s="17"/>
      <c r="BF3" s="10"/>
      <c r="BG3" s="149" t="s">
        <v>35</v>
      </c>
      <c r="BH3" s="201"/>
      <c r="BI3" s="202"/>
      <c r="BJ3" s="202"/>
      <c r="BK3" s="204"/>
      <c r="BL3" s="236" t="s">
        <v>35</v>
      </c>
      <c r="BM3" s="201"/>
      <c r="BN3" s="202"/>
      <c r="BO3" s="202"/>
      <c r="BP3" s="204"/>
      <c r="BQ3" s="205" t="s">
        <v>35</v>
      </c>
    </row>
    <row r="4" spans="1:69" s="1" customFormat="1" thickBot="1" x14ac:dyDescent="0.4">
      <c r="A4" s="52" t="s">
        <v>26</v>
      </c>
      <c r="B4" s="53"/>
      <c r="C4" s="53"/>
      <c r="D4" s="54"/>
      <c r="E4" s="55"/>
      <c r="F4" s="56">
        <v>8</v>
      </c>
      <c r="G4" s="18"/>
      <c r="H4" s="18"/>
      <c r="I4" s="17"/>
      <c r="J4" s="24"/>
      <c r="K4" s="18"/>
      <c r="L4" s="18"/>
      <c r="M4" s="17"/>
      <c r="N4" s="142">
        <f>COUNTIF(N9:N25, "&gt;0") / COUNTA(N9:N25)</f>
        <v>0.375</v>
      </c>
      <c r="O4" s="132"/>
      <c r="P4" s="132"/>
      <c r="Q4" s="132"/>
      <c r="R4" s="132"/>
      <c r="S4" s="142">
        <f>COUNTIF(S9:S25, "&gt;0") / COUNTA(S9:S25)</f>
        <v>0.4375</v>
      </c>
      <c r="T4" s="132"/>
      <c r="U4" s="132"/>
      <c r="V4" s="132"/>
      <c r="W4" s="132"/>
      <c r="X4" s="142">
        <f>COUNTIF(X9:X25, "&gt;0") / COUNTA(X9:X25)</f>
        <v>0.5</v>
      </c>
      <c r="Y4" s="132"/>
      <c r="Z4" s="156"/>
      <c r="AA4" s="156"/>
      <c r="AB4" s="156"/>
      <c r="AC4" s="142">
        <f>COUNTIF(AC9:AC25, "&gt;0") / COUNTA(AC9:AC25)</f>
        <v>0.5625</v>
      </c>
      <c r="AD4" s="132"/>
      <c r="AE4" s="132"/>
      <c r="AF4" s="132"/>
      <c r="AG4" s="132"/>
      <c r="AH4" s="142">
        <f>COUNTIF(AH9:AH25, "&gt;0") / COUNTA(AH9:AH25)</f>
        <v>0.4375</v>
      </c>
      <c r="AI4" s="132" t="e">
        <f>COUNTIF(AI9:AJ53, "&gt;0") / COUNTA(AI9:AI53)</f>
        <v>#DIV/0!</v>
      </c>
      <c r="AJ4" s="132"/>
      <c r="AK4" s="132"/>
      <c r="AL4" s="132"/>
      <c r="AM4" s="142">
        <f>COUNTIF(AM9:AM25, "&gt;0") / COUNTA(AM9:AM25)</f>
        <v>0.375</v>
      </c>
      <c r="AN4" s="132" t="e">
        <f>COUNTIF(AN9:AO53, "&gt;0") / COUNTA(AN9:AN53)</f>
        <v>#DIV/0!</v>
      </c>
      <c r="AO4" s="132"/>
      <c r="AP4" s="132"/>
      <c r="AQ4" s="132"/>
      <c r="AR4" s="142">
        <f>COUNTIF(AR9:AR25, "&gt;0") / COUNTA(AR9:AR25)</f>
        <v>0.5625</v>
      </c>
      <c r="AS4" s="132"/>
      <c r="AT4" s="132"/>
      <c r="AU4" s="132"/>
      <c r="AV4" s="132"/>
      <c r="AW4" s="142">
        <f>COUNTIF(AW9:AW25, "&gt;0") / COUNTA(AW9:AW25)</f>
        <v>0.375</v>
      </c>
      <c r="AX4" s="132" t="e">
        <f>COUNTIF(AX9:AY53, "&gt;0") / COUNTA(AX9:AX53)</f>
        <v>#DIV/0!</v>
      </c>
      <c r="AY4" s="132"/>
      <c r="AZ4" s="132"/>
      <c r="BA4" s="132"/>
      <c r="BB4" s="142">
        <f>COUNTIF(BB9:BB25, "&gt;0") / COUNTA(BB9:BB25)</f>
        <v>0.5</v>
      </c>
      <c r="BC4" s="132" t="e">
        <f>COUNTIF(BC9:BD53, "&gt;0") / COUNTA(BC9:BC53)</f>
        <v>#DIV/0!</v>
      </c>
      <c r="BD4" s="132"/>
      <c r="BE4" s="132"/>
      <c r="BF4" s="132"/>
      <c r="BG4" s="142">
        <f>COUNTIF(BG9:BG25, "&gt;0") / COUNTA(BG9:BG25)</f>
        <v>0.5625</v>
      </c>
      <c r="BH4" s="206" t="e">
        <f>COUNTIF(BH9:BI53, "&gt;0") / COUNTA(BH9:BH53)</f>
        <v>#DIV/0!</v>
      </c>
      <c r="BI4" s="206"/>
      <c r="BJ4" s="206"/>
      <c r="BK4" s="206"/>
      <c r="BL4" s="207">
        <f>COUNTIF(BL9:BL25, "&gt;0") / COUNTA(BL9:BL25)</f>
        <v>0.4375</v>
      </c>
      <c r="BM4" s="206" t="e">
        <f>COUNTIF(BM9:BN53, "&gt;0") / COUNTA(BM9:BM53)</f>
        <v>#DIV/0!</v>
      </c>
      <c r="BN4" s="206"/>
      <c r="BO4" s="206"/>
      <c r="BP4" s="206"/>
      <c r="BQ4" s="207">
        <f>COUNTIF(BQ9:BQ25, "&gt;0") / COUNTA(BQ9:BQ25)</f>
        <v>0.25</v>
      </c>
    </row>
    <row r="5" spans="1:69" s="1" customFormat="1" x14ac:dyDescent="0.35">
      <c r="A5" s="52" t="s">
        <v>3</v>
      </c>
      <c r="B5" s="53"/>
      <c r="C5" s="53"/>
      <c r="D5" s="54"/>
      <c r="E5" s="55"/>
      <c r="F5" s="56">
        <v>4</v>
      </c>
      <c r="G5" s="18"/>
      <c r="H5" s="18"/>
      <c r="I5" s="17"/>
      <c r="J5" s="24"/>
      <c r="K5" s="18"/>
      <c r="L5" s="18"/>
      <c r="M5" s="17"/>
      <c r="N5" s="24"/>
      <c r="O5" s="24"/>
      <c r="P5" s="18"/>
      <c r="Q5" s="18"/>
      <c r="R5" s="17"/>
      <c r="S5" s="24"/>
      <c r="T5" s="24"/>
      <c r="U5" s="18"/>
      <c r="V5" s="18"/>
      <c r="W5" s="17"/>
      <c r="X5" s="24"/>
      <c r="Y5" s="24"/>
      <c r="Z5" s="157"/>
      <c r="AA5" s="157"/>
      <c r="AB5" s="155"/>
      <c r="AC5" s="24"/>
      <c r="AD5" s="24"/>
      <c r="AE5" s="18"/>
      <c r="AF5" s="18"/>
      <c r="AG5" s="17"/>
      <c r="AH5" s="24"/>
      <c r="AI5" s="24"/>
      <c r="AJ5" s="18"/>
      <c r="AK5" s="18"/>
      <c r="AL5" s="17"/>
      <c r="AM5" s="24"/>
      <c r="AN5" s="24"/>
      <c r="AO5" s="18"/>
      <c r="AP5" s="18"/>
      <c r="AQ5" s="17"/>
      <c r="AR5" s="24"/>
      <c r="AS5" s="97"/>
      <c r="AT5" s="18"/>
      <c r="AU5" s="18"/>
      <c r="AV5" s="17"/>
      <c r="AW5" s="24"/>
      <c r="AX5" s="97"/>
      <c r="AY5" s="18"/>
      <c r="AZ5" s="18"/>
      <c r="BA5" s="17"/>
      <c r="BB5" s="24"/>
      <c r="BC5" s="97"/>
      <c r="BD5" s="18"/>
      <c r="BE5" s="18"/>
      <c r="BF5" s="17"/>
      <c r="BG5" s="24"/>
      <c r="BH5" s="208"/>
      <c r="BI5" s="209"/>
      <c r="BJ5" s="209"/>
      <c r="BK5" s="202"/>
      <c r="BL5" s="210"/>
      <c r="BM5" s="208"/>
      <c r="BN5" s="209"/>
      <c r="BO5" s="209"/>
      <c r="BP5" s="202"/>
      <c r="BQ5" s="210"/>
    </row>
    <row r="6" spans="1:69" s="1" customFormat="1" ht="24.95" customHeight="1" thickBot="1" x14ac:dyDescent="0.4">
      <c r="A6" s="57" t="s">
        <v>2</v>
      </c>
      <c r="B6" s="58"/>
      <c r="C6" s="58"/>
      <c r="D6" s="59"/>
      <c r="E6" s="60"/>
      <c r="F6" s="61">
        <v>6</v>
      </c>
      <c r="G6" s="29"/>
      <c r="H6" s="29"/>
      <c r="I6" s="17"/>
      <c r="J6" s="92"/>
      <c r="K6" s="29"/>
      <c r="L6" s="29"/>
      <c r="M6" s="17"/>
      <c r="N6" s="25"/>
      <c r="O6" s="92"/>
      <c r="P6" s="29"/>
      <c r="Q6" s="29"/>
      <c r="R6" s="17"/>
      <c r="S6" s="25"/>
      <c r="T6" s="92"/>
      <c r="U6" s="29"/>
      <c r="V6" s="29"/>
      <c r="W6" s="17"/>
      <c r="X6" s="25"/>
      <c r="Y6" s="92"/>
      <c r="Z6" s="158"/>
      <c r="AA6" s="158"/>
      <c r="AB6" s="155"/>
      <c r="AC6" s="25"/>
      <c r="AD6" s="92"/>
      <c r="AE6" s="29"/>
      <c r="AF6" s="29"/>
      <c r="AG6" s="17"/>
      <c r="AH6" s="25"/>
      <c r="AI6" s="92"/>
      <c r="AJ6" s="29"/>
      <c r="AK6" s="29"/>
      <c r="AL6" s="17"/>
      <c r="AM6" s="25"/>
      <c r="AN6" s="92"/>
      <c r="AO6" s="29"/>
      <c r="AP6" s="29"/>
      <c r="AQ6" s="17"/>
      <c r="AR6" s="25"/>
      <c r="AS6" s="98"/>
      <c r="AT6" s="29"/>
      <c r="AU6" s="29"/>
      <c r="AV6" s="17"/>
      <c r="AW6" s="25"/>
      <c r="AX6" s="98"/>
      <c r="AY6" s="29"/>
      <c r="AZ6" s="29"/>
      <c r="BA6" s="17"/>
      <c r="BB6" s="25"/>
      <c r="BC6" s="98"/>
      <c r="BD6" s="29"/>
      <c r="BE6" s="29"/>
      <c r="BF6" s="17"/>
      <c r="BG6" s="25"/>
      <c r="BH6" s="211"/>
      <c r="BI6" s="212"/>
      <c r="BJ6" s="212"/>
      <c r="BK6" s="202"/>
      <c r="BL6" s="213"/>
      <c r="BM6" s="211"/>
      <c r="BN6" s="212"/>
      <c r="BO6" s="212"/>
      <c r="BP6" s="202"/>
      <c r="BQ6" s="213"/>
    </row>
    <row r="7" spans="1:69" s="1" customFormat="1" ht="40.5" customHeight="1" thickBot="1" x14ac:dyDescent="0.4">
      <c r="A7" s="252" t="s">
        <v>8</v>
      </c>
      <c r="B7" s="253"/>
      <c r="C7" s="253"/>
      <c r="D7" s="253"/>
      <c r="E7" s="45"/>
      <c r="F7" s="88" t="s">
        <v>31</v>
      </c>
      <c r="G7" s="29"/>
      <c r="H7" s="29"/>
      <c r="I7" s="17"/>
      <c r="J7" s="93"/>
      <c r="K7" s="32"/>
      <c r="L7" s="33"/>
      <c r="M7" s="34"/>
      <c r="N7" s="35" t="s">
        <v>7</v>
      </c>
      <c r="O7" s="93"/>
      <c r="P7" s="102"/>
      <c r="Q7" s="103"/>
      <c r="R7" s="104"/>
      <c r="S7" s="105" t="s">
        <v>4</v>
      </c>
      <c r="T7" s="93"/>
      <c r="U7" s="39"/>
      <c r="V7" s="40"/>
      <c r="W7" s="41"/>
      <c r="X7" s="30" t="s">
        <v>10</v>
      </c>
      <c r="Y7" s="93"/>
      <c r="Z7" s="159"/>
      <c r="AA7" s="160"/>
      <c r="AB7" s="161"/>
      <c r="AC7" s="23" t="s">
        <v>11</v>
      </c>
      <c r="AD7" s="93"/>
      <c r="AE7" s="62"/>
      <c r="AF7" s="63"/>
      <c r="AG7" s="64"/>
      <c r="AH7" s="31" t="s">
        <v>5</v>
      </c>
      <c r="AI7" s="93"/>
      <c r="AJ7" s="68"/>
      <c r="AK7" s="69"/>
      <c r="AL7" s="70"/>
      <c r="AM7" s="74" t="s">
        <v>9</v>
      </c>
      <c r="AN7" s="93"/>
      <c r="AO7" s="82"/>
      <c r="AP7" s="83"/>
      <c r="AQ7" s="84"/>
      <c r="AR7" s="106" t="s">
        <v>27</v>
      </c>
      <c r="AS7" s="99"/>
      <c r="AT7" s="191"/>
      <c r="AU7" s="192"/>
      <c r="AV7" s="193"/>
      <c r="AW7" s="189" t="s">
        <v>28</v>
      </c>
      <c r="AX7" s="99"/>
      <c r="AY7" s="125"/>
      <c r="AZ7" s="126"/>
      <c r="BA7" s="127"/>
      <c r="BB7" s="124" t="s">
        <v>34</v>
      </c>
      <c r="BC7" s="99"/>
      <c r="BD7" s="143"/>
      <c r="BE7" s="144"/>
      <c r="BF7" s="145"/>
      <c r="BG7" s="152" t="s">
        <v>36</v>
      </c>
      <c r="BH7" s="214"/>
      <c r="BI7" s="32"/>
      <c r="BJ7" s="33"/>
      <c r="BK7" s="34"/>
      <c r="BL7" s="35" t="s">
        <v>53</v>
      </c>
      <c r="BM7" s="214"/>
      <c r="BN7" s="225"/>
      <c r="BO7" s="226"/>
      <c r="BP7" s="227"/>
      <c r="BQ7" s="231" t="s">
        <v>55</v>
      </c>
    </row>
    <row r="8" spans="1:69" s="1" customFormat="1" ht="45" customHeight="1" thickBot="1" x14ac:dyDescent="0.4">
      <c r="A8" s="250" t="s">
        <v>13</v>
      </c>
      <c r="B8" s="251"/>
      <c r="C8" s="251"/>
      <c r="D8" s="251"/>
      <c r="E8" s="45"/>
      <c r="F8" s="46"/>
      <c r="G8" s="89"/>
      <c r="H8" s="90" t="s">
        <v>32</v>
      </c>
      <c r="I8" s="91"/>
      <c r="J8" s="94"/>
      <c r="K8" s="119"/>
      <c r="L8" s="120"/>
      <c r="M8" s="121"/>
      <c r="N8" s="122">
        <f>SUM(N9:N53)</f>
        <v>61</v>
      </c>
      <c r="O8" s="94"/>
      <c r="P8" s="36"/>
      <c r="Q8" s="37"/>
      <c r="R8" s="38"/>
      <c r="S8" s="22">
        <f>SUM(S9:S53)</f>
        <v>98</v>
      </c>
      <c r="T8" s="94"/>
      <c r="U8" s="42"/>
      <c r="V8" s="43"/>
      <c r="W8" s="44"/>
      <c r="X8" s="22">
        <f>SUM(X9:X53)</f>
        <v>86</v>
      </c>
      <c r="Y8" s="94"/>
      <c r="Z8" s="162"/>
      <c r="AA8" s="163"/>
      <c r="AB8" s="164"/>
      <c r="AC8" s="22">
        <f>SUM(AC9:AC53)</f>
        <v>110</v>
      </c>
      <c r="AD8" s="94"/>
      <c r="AE8" s="65"/>
      <c r="AF8" s="66"/>
      <c r="AG8" s="67"/>
      <c r="AH8" s="22">
        <f>SUM(AH9:AH53)</f>
        <v>77</v>
      </c>
      <c r="AI8" s="94"/>
      <c r="AJ8" s="71"/>
      <c r="AK8" s="72"/>
      <c r="AL8" s="73"/>
      <c r="AM8" s="22">
        <f>SUM(AM9:AM53)</f>
        <v>71</v>
      </c>
      <c r="AN8" s="94"/>
      <c r="AO8" s="85"/>
      <c r="AP8" s="86"/>
      <c r="AQ8" s="87"/>
      <c r="AR8" s="22">
        <f>SUM(AR9:AR53)</f>
        <v>122</v>
      </c>
      <c r="AS8" s="100"/>
      <c r="AT8" s="194"/>
      <c r="AU8" s="195"/>
      <c r="AV8" s="196"/>
      <c r="AW8" s="22">
        <f>SUM(AW9:AW53)</f>
        <v>61</v>
      </c>
      <c r="AX8" s="100"/>
      <c r="AY8" s="128"/>
      <c r="AZ8" s="129"/>
      <c r="BA8" s="130"/>
      <c r="BB8" s="22">
        <f>SUM(BB9:BB53)</f>
        <v>90</v>
      </c>
      <c r="BC8" s="100"/>
      <c r="BD8" s="146"/>
      <c r="BE8" s="147"/>
      <c r="BF8" s="148"/>
      <c r="BG8" s="122">
        <f>SUM(BG9:BG53)</f>
        <v>96</v>
      </c>
      <c r="BH8" s="215"/>
      <c r="BI8" s="119"/>
      <c r="BJ8" s="120"/>
      <c r="BK8" s="121"/>
      <c r="BL8" s="122">
        <f>SUM(BL9:BL53)</f>
        <v>106</v>
      </c>
      <c r="BM8" s="215"/>
      <c r="BN8" s="228"/>
      <c r="BO8" s="229"/>
      <c r="BP8" s="230"/>
      <c r="BQ8" s="122">
        <f>SUM(BQ9:BQ53)</f>
        <v>66</v>
      </c>
    </row>
    <row r="9" spans="1:69" ht="39.950000000000003" customHeight="1" thickBot="1" x14ac:dyDescent="0.3">
      <c r="A9" s="26" t="s">
        <v>41</v>
      </c>
      <c r="B9" s="187">
        <v>0.70833333333333337</v>
      </c>
      <c r="C9" s="26" t="s">
        <v>21</v>
      </c>
      <c r="D9" s="26" t="s">
        <v>24</v>
      </c>
      <c r="E9" s="244" t="s">
        <v>14</v>
      </c>
      <c r="F9" s="16"/>
      <c r="G9" s="107">
        <v>3</v>
      </c>
      <c r="H9" s="107" t="s">
        <v>30</v>
      </c>
      <c r="I9" s="107">
        <v>1</v>
      </c>
      <c r="J9" s="117"/>
      <c r="K9" s="123">
        <v>1</v>
      </c>
      <c r="L9" s="123" t="s">
        <v>30</v>
      </c>
      <c r="M9" s="123">
        <v>1</v>
      </c>
      <c r="N9" s="123">
        <f>IF(OR(G9="", I9="", K9="", M9=""), "", IF(AND(G9=K9, I9=M9), $F$3, IF(G9-I9=K9-M9, $F$4, IF(AND(G9=I9, K9=M9),$F$6, IF(SIGN(G9-I9)=SIGN(K9-M9), $F$5, 0)))))</f>
        <v>0</v>
      </c>
      <c r="O9" s="118"/>
      <c r="P9" s="109">
        <v>3</v>
      </c>
      <c r="Q9" s="109" t="s">
        <v>30</v>
      </c>
      <c r="R9" s="109">
        <v>0</v>
      </c>
      <c r="S9" s="109">
        <f>IF(OR(G9="", I9="", P9="", R9=""), "", IF(AND(G9=P9, I9=R9), $F$3, IF(G9-I9=P9-R9, $F$4, IF(AND(G9=I9, P9=R9),$F$6, IF(SIGN(G9-I9)=SIGN(P9-R9), $F$5, 0)))))</f>
        <v>4</v>
      </c>
      <c r="T9" s="108"/>
      <c r="U9" s="223">
        <v>2</v>
      </c>
      <c r="V9" s="223" t="s">
        <v>30</v>
      </c>
      <c r="W9" s="223">
        <v>1</v>
      </c>
      <c r="X9" s="223">
        <f t="shared" ref="X9" si="0">IF(OR(G9="", I9="", U9="", W9=""), "", IF(AND(G9=U9, I9=W9), $F$3, IF(G9-I9=U9-W9, $F$4, IF(AND(G9=I9, U9=W9),$F$6, IF(SIGN(G9-I9)=SIGN(U9-W9), $F$5, 0)))))</f>
        <v>4</v>
      </c>
      <c r="Y9" s="108"/>
      <c r="Z9" s="165">
        <v>2</v>
      </c>
      <c r="AA9" s="165" t="s">
        <v>30</v>
      </c>
      <c r="AB9" s="165">
        <v>0</v>
      </c>
      <c r="AC9" s="165">
        <v>6</v>
      </c>
      <c r="AD9" s="108"/>
      <c r="AE9" s="112">
        <v>2</v>
      </c>
      <c r="AF9" s="112" t="s">
        <v>30</v>
      </c>
      <c r="AG9" s="112">
        <v>1</v>
      </c>
      <c r="AH9" s="112">
        <f>IF(OR(G9="", I9="", AE9="", AG9=""), "", IF(AND(G9=AE9, I9=AG9), $F$3, IF(G9-I9=AE9-AG9, $F$4, IF(AND(G9=I9, AE9=AG9),$F$6, IF(SIGN(G9-I9)=SIGN(AE9-AG9), $F$5, 0)))))</f>
        <v>4</v>
      </c>
      <c r="AI9" s="108"/>
      <c r="AJ9" s="113">
        <v>2</v>
      </c>
      <c r="AK9" s="113" t="s">
        <v>30</v>
      </c>
      <c r="AL9" s="113">
        <v>1</v>
      </c>
      <c r="AM9" s="113">
        <f>IF(OR(G9="", I9="", AJ9="", AL9=""), "", IF(AND(G9=AJ9, I9=AL9), $F$3, IF(G9-I9=AJ9-AL9, $F$4, IF(AND(G9=I9, AJ9=AL9),$F$6, IF(SIGN(G9-I9)=SIGN(AJ9-AL9), $F$5, 0)))))</f>
        <v>4</v>
      </c>
      <c r="AN9" s="108"/>
      <c r="AO9" s="114">
        <v>2</v>
      </c>
      <c r="AP9" s="114" t="s">
        <v>30</v>
      </c>
      <c r="AQ9" s="114">
        <v>0</v>
      </c>
      <c r="AR9" s="114">
        <v>6</v>
      </c>
      <c r="AS9" s="115"/>
      <c r="AT9" s="190">
        <v>1</v>
      </c>
      <c r="AU9" s="190" t="s">
        <v>30</v>
      </c>
      <c r="AV9" s="190">
        <v>1</v>
      </c>
      <c r="AW9" s="190">
        <f>IF(OR(G9="", I9="", AT9="", AV9=""), "", IF(AND(G9=AT9, I9=AV9), $F$3, IF(G9-I9=AT9-AV9, $F$4, IF(AND(G9=I9, AT9=AV9),$F$6, IF(SIGN(G9-I9)=SIGN(AT9-AV9), $F$5, 0)))))</f>
        <v>0</v>
      </c>
      <c r="AX9" s="115"/>
      <c r="AY9" s="131">
        <v>1</v>
      </c>
      <c r="AZ9" s="131" t="s">
        <v>30</v>
      </c>
      <c r="BA9" s="131">
        <v>0</v>
      </c>
      <c r="BB9" s="131">
        <f t="shared" ref="BB9:BB11" si="1">IF(OR(G9="", I9="", AY9="", BA9=""), "", IF(AND(G9=AY9, I9=BA9), $F$3, IF(G9-I9=AY9-BA9, $F$4, IF(AND(G9=I9, AY9=BA9),$F$6, IF(SIGN(G9-I9)=SIGN(AY9-BA9), $F$5, 0)))))</f>
        <v>4</v>
      </c>
      <c r="BC9" s="115"/>
      <c r="BD9" s="151">
        <v>1</v>
      </c>
      <c r="BE9" s="151" t="s">
        <v>30</v>
      </c>
      <c r="BF9" s="151">
        <v>0</v>
      </c>
      <c r="BG9" s="150">
        <f t="shared" ref="BG9:BG12" si="2">IF(OR(G9="", I9="", BD9="", BF9=""), "", IF(AND(G9=BD9, I9=BF9), $F$3, IF(G9-I9=BD9-BF9, $F$4, IF(AND(G9=I9, BD9=BF9),$F$6, IF(SIGN(G9-I9)=SIGN(BD9-BF9), $F$5, 0)))))</f>
        <v>4</v>
      </c>
      <c r="BH9" s="216"/>
      <c r="BI9" s="123">
        <v>0</v>
      </c>
      <c r="BJ9" s="123" t="s">
        <v>30</v>
      </c>
      <c r="BK9" s="123">
        <v>0</v>
      </c>
      <c r="BL9" s="123">
        <v>0</v>
      </c>
      <c r="BM9" s="216"/>
      <c r="BN9" s="217"/>
      <c r="BO9" s="217" t="s">
        <v>30</v>
      </c>
      <c r="BP9" s="217"/>
      <c r="BQ9" s="217" t="str">
        <f t="shared" ref="BQ9:BQ15" si="3">IF(OR(Q9="", S9="", BN9="", BP9=""), "", IF(AND(Q9=BN9, S9=BP9), $F$3, IF(Q9-S9=BN9-BP9, $F$4, IF(AND(Q9=S9, BN9=BP9),$F$6, IF(SIGN(Q9-S9)=SIGN(BN9-BP9), $F$5, 0)))))</f>
        <v/>
      </c>
    </row>
    <row r="10" spans="1:69" ht="39.950000000000003" customHeight="1" thickBot="1" x14ac:dyDescent="0.3">
      <c r="A10" s="26" t="s">
        <v>41</v>
      </c>
      <c r="B10" s="187">
        <v>0.70833333333333337</v>
      </c>
      <c r="C10" s="26" t="s">
        <v>15</v>
      </c>
      <c r="D10" s="26" t="s">
        <v>16</v>
      </c>
      <c r="E10" s="245"/>
      <c r="G10" s="107">
        <v>1</v>
      </c>
      <c r="H10" s="107" t="s">
        <v>30</v>
      </c>
      <c r="I10" s="107">
        <v>3</v>
      </c>
      <c r="J10" s="117"/>
      <c r="K10" s="123">
        <v>3</v>
      </c>
      <c r="L10" s="123" t="s">
        <v>30</v>
      </c>
      <c r="M10" s="123">
        <v>1</v>
      </c>
      <c r="N10" s="123">
        <f>IF(OR(G10="", I10="", K10="", M10=""), "", IF(AND(G10=K10, I10=M10), $F$3, IF(G10-I10=K10-M10, $F$4, IF(AND(G10=I10, K10=M10),$F$6, IF(SIGN(G10-I10)=SIGN(K10-M10), $F$5, 0)))))</f>
        <v>0</v>
      </c>
      <c r="O10" s="118"/>
      <c r="P10" s="109">
        <v>2</v>
      </c>
      <c r="Q10" s="109" t="s">
        <v>30</v>
      </c>
      <c r="R10" s="109">
        <v>1</v>
      </c>
      <c r="S10" s="109">
        <f t="shared" ref="S10:S25" si="4">IF(OR(G10="", I10="", P10="", R10=""), "", IF(AND(G10=P10, I10=R10), $F$3, IF(G10-I10=P10-R10, $F$4, IF(AND(G10=I10, P10=R10),$F$6, IF(SIGN(G10-I10)=SIGN(P10-R10), $F$5, 0)))))</f>
        <v>0</v>
      </c>
      <c r="T10" s="108"/>
      <c r="U10" s="223">
        <v>2</v>
      </c>
      <c r="V10" s="223" t="s">
        <v>30</v>
      </c>
      <c r="W10" s="223">
        <v>0</v>
      </c>
      <c r="X10" s="223">
        <f t="shared" ref="X10:X25" si="5">IF(OR(G10="", I10="", U10="", W10=""), "", IF(AND(G10=U10, I10=W10), $F$3, IF(G10-I10=U10-W10, $F$4, IF(AND(G10=I10, U10=W10),$F$6, IF(SIGN(G10-I10)=SIGN(U10-W10), $F$5, 0)))))</f>
        <v>0</v>
      </c>
      <c r="Y10" s="108"/>
      <c r="Z10" s="165">
        <v>2</v>
      </c>
      <c r="AA10" s="165" t="s">
        <v>30</v>
      </c>
      <c r="AB10" s="165">
        <v>1</v>
      </c>
      <c r="AC10" s="165">
        <f t="shared" ref="AC10:AC25" si="6">IF(OR(G10="", I10="", Z10="", AB10=""), "", IF(AND(G10=Z10, I10=AB10), $F$3, IF(G10-I10=Z10-AB10, $F$4, IF(AND(G10=I10, Z10=AB10),$F$6, IF(SIGN(G10-I10)=SIGN(Z10-AB10), $F$5, 0)))))</f>
        <v>0</v>
      </c>
      <c r="AD10" s="108"/>
      <c r="AE10" s="112">
        <v>2</v>
      </c>
      <c r="AF10" s="112" t="s">
        <v>30</v>
      </c>
      <c r="AG10" s="112">
        <v>1</v>
      </c>
      <c r="AH10" s="112">
        <f t="shared" ref="AH10:AH25" si="7">IF(OR(G10="", I10="", AE10="", AG10=""), "", IF(AND(G10=AE10, I10=AG10), $F$3, IF(G10-I10=AE10-AG10, $F$4, IF(AND(G10=I10, AE10=AG10),$F$6, IF(SIGN(G10-I10)=SIGN(AE10-AG10), $F$5, 0)))))</f>
        <v>0</v>
      </c>
      <c r="AI10" s="108"/>
      <c r="AJ10" s="113">
        <v>3</v>
      </c>
      <c r="AK10" s="113" t="s">
        <v>30</v>
      </c>
      <c r="AL10" s="113">
        <v>1</v>
      </c>
      <c r="AM10" s="113">
        <f t="shared" ref="AM10:AM25" si="8">IF(OR(G10="", I10="", AJ10="", AL10=""), "", IF(AND(G10=AJ10, I10=AL10), $F$3, IF(G10-I10=AJ10-AL10, $F$4, IF(AND(G10=I10, AJ10=AL10),$F$6, IF(SIGN(G10-I10)=SIGN(AJ10-AL10), $F$5, 0)))))</f>
        <v>0</v>
      </c>
      <c r="AN10" s="108"/>
      <c r="AO10" s="114">
        <v>2</v>
      </c>
      <c r="AP10" s="114" t="s">
        <v>30</v>
      </c>
      <c r="AQ10" s="114">
        <v>1</v>
      </c>
      <c r="AR10" s="114">
        <f t="shared" ref="AR10:AR25" si="9">IF(OR(G10="", I10="", AO10="", AQ10=""), "", IF(AND(G10=AO10, I10=AQ10), $F$3, IF(G10-I10=AO10-AQ10, $F$4, IF(AND(G10=I10, AO10=AQ10),$F$6, IF(SIGN(G10-I10)=SIGN(AO10-AQ10), $F$5, 0)))))</f>
        <v>0</v>
      </c>
      <c r="AS10" s="115"/>
      <c r="AT10" s="190">
        <v>2</v>
      </c>
      <c r="AU10" s="190" t="s">
        <v>30</v>
      </c>
      <c r="AV10" s="190">
        <v>0</v>
      </c>
      <c r="AW10" s="190">
        <f t="shared" ref="AW10:AW25" si="10">IF(OR(G10="", I10="", AT10="", AV10=""), "", IF(AND(G10=AT10, I10=AV10), $F$3, IF(G10-I10=AT10-AV10, $F$4, IF(AND(G10=I10, AT10=AV10),$F$6, IF(SIGN(G10-I10)=SIGN(AT10-AV10), $F$5, 0)))))</f>
        <v>0</v>
      </c>
      <c r="AX10" s="115"/>
      <c r="AY10" s="131">
        <v>2</v>
      </c>
      <c r="AZ10" s="131" t="s">
        <v>30</v>
      </c>
      <c r="BA10" s="131">
        <v>2</v>
      </c>
      <c r="BB10" s="131">
        <f t="shared" si="1"/>
        <v>0</v>
      </c>
      <c r="BC10" s="115"/>
      <c r="BD10" s="151">
        <v>2</v>
      </c>
      <c r="BE10" s="151" t="s">
        <v>30</v>
      </c>
      <c r="BF10" s="151">
        <v>1</v>
      </c>
      <c r="BG10" s="150">
        <f t="shared" si="2"/>
        <v>0</v>
      </c>
      <c r="BH10" s="216"/>
      <c r="BI10" s="123">
        <v>2</v>
      </c>
      <c r="BJ10" s="123" t="s">
        <v>30</v>
      </c>
      <c r="BK10" s="123">
        <v>0</v>
      </c>
      <c r="BL10" s="123">
        <v>0</v>
      </c>
      <c r="BM10" s="216"/>
      <c r="BN10" s="217"/>
      <c r="BO10" s="217" t="s">
        <v>30</v>
      </c>
      <c r="BP10" s="217"/>
      <c r="BQ10" s="217" t="str">
        <f t="shared" si="3"/>
        <v/>
      </c>
    </row>
    <row r="11" spans="1:69" ht="39.950000000000003" customHeight="1" thickBot="1" x14ac:dyDescent="0.3">
      <c r="A11" s="26" t="s">
        <v>41</v>
      </c>
      <c r="B11" s="187">
        <v>0.70833333333333337</v>
      </c>
      <c r="C11" s="26" t="s">
        <v>29</v>
      </c>
      <c r="D11" s="26" t="s">
        <v>44</v>
      </c>
      <c r="E11" s="245"/>
      <c r="G11" s="107">
        <v>0</v>
      </c>
      <c r="H11" s="107" t="s">
        <v>30</v>
      </c>
      <c r="I11" s="107">
        <v>1</v>
      </c>
      <c r="J11" s="117"/>
      <c r="K11" s="123">
        <v>0</v>
      </c>
      <c r="L11" s="123" t="s">
        <v>30</v>
      </c>
      <c r="M11" s="123">
        <v>1</v>
      </c>
      <c r="N11" s="224">
        <v>15</v>
      </c>
      <c r="O11" s="118"/>
      <c r="P11" s="109">
        <v>1</v>
      </c>
      <c r="Q11" s="109" t="s">
        <v>30</v>
      </c>
      <c r="R11" s="109">
        <v>1</v>
      </c>
      <c r="S11" s="109">
        <f t="shared" si="4"/>
        <v>0</v>
      </c>
      <c r="T11" s="108"/>
      <c r="U11" s="223">
        <v>1</v>
      </c>
      <c r="V11" s="223" t="s">
        <v>30</v>
      </c>
      <c r="W11" s="223">
        <v>3</v>
      </c>
      <c r="X11" s="223">
        <f t="shared" si="5"/>
        <v>4</v>
      </c>
      <c r="Y11" s="108"/>
      <c r="Z11" s="165">
        <v>1</v>
      </c>
      <c r="AA11" s="165" t="s">
        <v>30</v>
      </c>
      <c r="AB11" s="165">
        <v>2</v>
      </c>
      <c r="AC11" s="165">
        <v>6</v>
      </c>
      <c r="AD11" s="108"/>
      <c r="AE11" s="112">
        <v>1</v>
      </c>
      <c r="AF11" s="112" t="s">
        <v>30</v>
      </c>
      <c r="AG11" s="112">
        <v>1</v>
      </c>
      <c r="AH11" s="112">
        <f t="shared" si="7"/>
        <v>0</v>
      </c>
      <c r="AI11" s="108"/>
      <c r="AJ11" s="113">
        <v>1</v>
      </c>
      <c r="AK11" s="113" t="s">
        <v>30</v>
      </c>
      <c r="AL11" s="113">
        <v>0</v>
      </c>
      <c r="AM11" s="113">
        <f t="shared" si="8"/>
        <v>0</v>
      </c>
      <c r="AN11" s="108"/>
      <c r="AO11" s="114">
        <v>1</v>
      </c>
      <c r="AP11" s="114" t="s">
        <v>30</v>
      </c>
      <c r="AQ11" s="114">
        <v>1</v>
      </c>
      <c r="AR11" s="114">
        <f t="shared" si="9"/>
        <v>0</v>
      </c>
      <c r="AS11" s="115"/>
      <c r="AT11" s="190">
        <v>1</v>
      </c>
      <c r="AU11" s="190" t="s">
        <v>30</v>
      </c>
      <c r="AV11" s="190">
        <v>2</v>
      </c>
      <c r="AW11" s="190">
        <v>6</v>
      </c>
      <c r="AX11" s="115"/>
      <c r="AY11" s="131">
        <v>2</v>
      </c>
      <c r="AZ11" s="131" t="s">
        <v>30</v>
      </c>
      <c r="BA11" s="131">
        <v>0</v>
      </c>
      <c r="BB11" s="131">
        <f t="shared" si="1"/>
        <v>0</v>
      </c>
      <c r="BC11" s="115"/>
      <c r="BD11" s="151">
        <v>1</v>
      </c>
      <c r="BE11" s="151" t="s">
        <v>30</v>
      </c>
      <c r="BF11" s="151">
        <v>1</v>
      </c>
      <c r="BG11" s="150">
        <f t="shared" si="2"/>
        <v>0</v>
      </c>
      <c r="BH11" s="216"/>
      <c r="BI11" s="123">
        <v>0</v>
      </c>
      <c r="BJ11" s="123" t="s">
        <v>30</v>
      </c>
      <c r="BK11" s="123">
        <v>1</v>
      </c>
      <c r="BL11" s="123">
        <v>15</v>
      </c>
      <c r="BM11" s="216"/>
      <c r="BN11" s="217"/>
      <c r="BO11" s="217" t="s">
        <v>30</v>
      </c>
      <c r="BP11" s="217"/>
      <c r="BQ11" s="217" t="str">
        <f t="shared" si="3"/>
        <v/>
      </c>
    </row>
    <row r="12" spans="1:69" ht="39.950000000000003" customHeight="1" thickBot="1" x14ac:dyDescent="0.3">
      <c r="A12" s="26" t="s">
        <v>41</v>
      </c>
      <c r="B12" s="187">
        <v>0.83333333333333337</v>
      </c>
      <c r="C12" s="26" t="s">
        <v>37</v>
      </c>
      <c r="D12" s="26" t="s">
        <v>23</v>
      </c>
      <c r="E12" s="245"/>
      <c r="G12" s="107">
        <v>3</v>
      </c>
      <c r="H12" s="107" t="s">
        <v>30</v>
      </c>
      <c r="I12" s="107">
        <v>1</v>
      </c>
      <c r="J12" s="117"/>
      <c r="K12" s="123">
        <v>0</v>
      </c>
      <c r="L12" s="123" t="s">
        <v>30</v>
      </c>
      <c r="M12" s="123">
        <v>2</v>
      </c>
      <c r="N12" s="123">
        <f t="shared" ref="N12:N25" si="11">IF(OR(G12="", I12="", K12="", M12=""), "", IF(AND(G12=K12, I12=M12), $F$3, IF(G12-I12=K12-M12, $F$4, IF(AND(G12=I12, K12=M12),$F$6, IF(SIGN(G12-I12)=SIGN(K12-M12), $F$5, 0)))))</f>
        <v>0</v>
      </c>
      <c r="O12" s="118"/>
      <c r="P12" s="109">
        <v>1</v>
      </c>
      <c r="Q12" s="109" t="s">
        <v>30</v>
      </c>
      <c r="R12" s="109">
        <v>1</v>
      </c>
      <c r="S12" s="109">
        <f t="shared" si="4"/>
        <v>0</v>
      </c>
      <c r="T12" s="108"/>
      <c r="U12" s="88">
        <v>0</v>
      </c>
      <c r="V12" s="88" t="s">
        <v>30</v>
      </c>
      <c r="W12" s="88">
        <v>3</v>
      </c>
      <c r="X12" s="223">
        <f t="shared" si="5"/>
        <v>0</v>
      </c>
      <c r="Y12" s="108"/>
      <c r="Z12" s="165">
        <v>1</v>
      </c>
      <c r="AA12" s="165" t="s">
        <v>30</v>
      </c>
      <c r="AB12" s="165">
        <v>2</v>
      </c>
      <c r="AC12" s="165">
        <f t="shared" si="6"/>
        <v>0</v>
      </c>
      <c r="AD12" s="108"/>
      <c r="AE12" s="88">
        <v>1</v>
      </c>
      <c r="AF12" s="88" t="s">
        <v>30</v>
      </c>
      <c r="AG12" s="88">
        <v>2</v>
      </c>
      <c r="AH12" s="112">
        <f t="shared" si="7"/>
        <v>0</v>
      </c>
      <c r="AI12" s="108"/>
      <c r="AJ12" s="113">
        <v>1</v>
      </c>
      <c r="AK12" s="113" t="s">
        <v>30</v>
      </c>
      <c r="AL12" s="113">
        <v>2</v>
      </c>
      <c r="AM12" s="113">
        <f t="shared" si="8"/>
        <v>0</v>
      </c>
      <c r="AN12" s="108"/>
      <c r="AO12" s="114">
        <v>0</v>
      </c>
      <c r="AP12" s="114" t="s">
        <v>30</v>
      </c>
      <c r="AQ12" s="114">
        <v>2</v>
      </c>
      <c r="AR12" s="114">
        <f>IF(OR(G12="", I12="", AO12="", AQ12=""), "", IF(AND(G12=AO12, I12=AQ12), $F$3, IF(G12-I12=AO12-AQ12, $F$4, IF(AND(G12=I12, AO12=AQ12),$F$6, IF(SIGN(G12-I12)=SIGN(AO12-AQ12), $F$5, 0)))))</f>
        <v>0</v>
      </c>
      <c r="AS12" s="115"/>
      <c r="AT12" s="190">
        <v>1</v>
      </c>
      <c r="AU12" s="190" t="s">
        <v>30</v>
      </c>
      <c r="AV12" s="190">
        <v>2</v>
      </c>
      <c r="AW12" s="190">
        <f t="shared" si="10"/>
        <v>0</v>
      </c>
      <c r="AX12" s="115"/>
      <c r="AY12" s="131">
        <v>1</v>
      </c>
      <c r="AZ12" s="131" t="s">
        <v>30</v>
      </c>
      <c r="BA12" s="131">
        <v>2</v>
      </c>
      <c r="BB12" s="131">
        <f t="shared" ref="BB12" si="12">IF(OR(G12="", I12="", AY12="", BA12=""), "", IF(AND(G12=AY12, I12=BA12), $F$3, IF(G12-I12=AY12-BA12, $F$4, IF(AND(G12=I12, AY12=BA12),$F$6, IF(SIGN(G12-I12)=SIGN(AY12-BA12), $F$5, 0)))))</f>
        <v>0</v>
      </c>
      <c r="BC12" s="115"/>
      <c r="BD12" s="151">
        <v>1</v>
      </c>
      <c r="BE12" s="151" t="s">
        <v>30</v>
      </c>
      <c r="BF12" s="151">
        <v>2</v>
      </c>
      <c r="BG12" s="150">
        <f t="shared" si="2"/>
        <v>0</v>
      </c>
      <c r="BH12" s="216"/>
      <c r="BI12" s="123">
        <v>0</v>
      </c>
      <c r="BJ12" s="123" t="s">
        <v>30</v>
      </c>
      <c r="BK12" s="123">
        <v>3</v>
      </c>
      <c r="BL12" s="123">
        <v>0</v>
      </c>
      <c r="BM12" s="216"/>
      <c r="BN12" s="217"/>
      <c r="BO12" s="217" t="s">
        <v>30</v>
      </c>
      <c r="BP12" s="217"/>
      <c r="BQ12" s="217" t="str">
        <f t="shared" si="3"/>
        <v/>
      </c>
    </row>
    <row r="13" spans="1:69" s="3" customFormat="1" ht="39.950000000000003" customHeight="1" thickBot="1" x14ac:dyDescent="0.3">
      <c r="A13" s="26" t="s">
        <v>42</v>
      </c>
      <c r="B13" s="187">
        <v>0.625</v>
      </c>
      <c r="C13" s="26" t="s">
        <v>22</v>
      </c>
      <c r="D13" s="26" t="s">
        <v>20</v>
      </c>
      <c r="E13" s="245"/>
      <c r="F13" s="6"/>
      <c r="G13" s="107">
        <v>5</v>
      </c>
      <c r="H13" s="107" t="s">
        <v>30</v>
      </c>
      <c r="I13" s="107">
        <v>1</v>
      </c>
      <c r="J13" s="117"/>
      <c r="K13" s="88">
        <v>3</v>
      </c>
      <c r="L13" s="88" t="s">
        <v>30</v>
      </c>
      <c r="M13" s="88">
        <v>0</v>
      </c>
      <c r="N13" s="190">
        <v>8</v>
      </c>
      <c r="O13" s="118"/>
      <c r="P13" s="88">
        <v>4</v>
      </c>
      <c r="Q13" s="88" t="s">
        <v>30</v>
      </c>
      <c r="R13" s="88">
        <v>0</v>
      </c>
      <c r="S13" s="190">
        <v>12</v>
      </c>
      <c r="T13" s="108"/>
      <c r="U13" s="223">
        <v>3</v>
      </c>
      <c r="V13" s="223" t="s">
        <v>30</v>
      </c>
      <c r="W13" s="223">
        <v>0</v>
      </c>
      <c r="X13" s="223">
        <f t="shared" si="5"/>
        <v>4</v>
      </c>
      <c r="Y13" s="108"/>
      <c r="Z13" s="88">
        <v>3</v>
      </c>
      <c r="AA13" s="88" t="s">
        <v>30</v>
      </c>
      <c r="AB13" s="88">
        <v>0</v>
      </c>
      <c r="AC13" s="190">
        <v>8</v>
      </c>
      <c r="AD13" s="108"/>
      <c r="AE13" s="112">
        <v>2</v>
      </c>
      <c r="AF13" s="112" t="s">
        <v>30</v>
      </c>
      <c r="AG13" s="112">
        <v>0</v>
      </c>
      <c r="AH13" s="112">
        <f t="shared" si="7"/>
        <v>4</v>
      </c>
      <c r="AI13" s="108"/>
      <c r="AJ13" s="88">
        <v>2</v>
      </c>
      <c r="AK13" s="88" t="s">
        <v>30</v>
      </c>
      <c r="AL13" s="88">
        <v>0</v>
      </c>
      <c r="AM13" s="190">
        <v>8</v>
      </c>
      <c r="AN13" s="108"/>
      <c r="AO13" s="88">
        <v>2</v>
      </c>
      <c r="AP13" s="88" t="s">
        <v>30</v>
      </c>
      <c r="AQ13" s="88">
        <v>1</v>
      </c>
      <c r="AR13" s="190">
        <v>8</v>
      </c>
      <c r="AS13" s="115"/>
      <c r="AT13" s="88">
        <v>2</v>
      </c>
      <c r="AU13" s="88" t="s">
        <v>30</v>
      </c>
      <c r="AV13" s="88">
        <v>0</v>
      </c>
      <c r="AW13" s="190">
        <v>8</v>
      </c>
      <c r="AX13" s="115"/>
      <c r="AY13" s="197">
        <v>3</v>
      </c>
      <c r="AZ13" s="197" t="s">
        <v>30</v>
      </c>
      <c r="BA13" s="197">
        <v>0</v>
      </c>
      <c r="BB13" s="190">
        <v>8</v>
      </c>
      <c r="BC13" s="115"/>
      <c r="BD13" s="88">
        <v>2</v>
      </c>
      <c r="BE13" s="88" t="s">
        <v>30</v>
      </c>
      <c r="BF13" s="88">
        <v>0</v>
      </c>
      <c r="BG13" s="190">
        <v>8</v>
      </c>
      <c r="BH13" s="216"/>
      <c r="BI13" s="88">
        <v>2</v>
      </c>
      <c r="BJ13" s="88" t="s">
        <v>30</v>
      </c>
      <c r="BK13" s="88">
        <v>1</v>
      </c>
      <c r="BL13" s="190">
        <v>8</v>
      </c>
      <c r="BM13" s="216"/>
      <c r="BN13" s="217"/>
      <c r="BO13" s="217" t="s">
        <v>30</v>
      </c>
      <c r="BP13" s="217"/>
      <c r="BQ13" s="217" t="str">
        <f t="shared" si="3"/>
        <v/>
      </c>
    </row>
    <row r="14" spans="1:69" ht="39.950000000000003" customHeight="1" thickBot="1" x14ac:dyDescent="0.3">
      <c r="A14" s="26" t="s">
        <v>42</v>
      </c>
      <c r="B14" s="187">
        <v>0.72916666666666663</v>
      </c>
      <c r="C14" s="26" t="s">
        <v>19</v>
      </c>
      <c r="D14" s="26" t="s">
        <v>17</v>
      </c>
      <c r="E14" s="245"/>
      <c r="G14" s="107">
        <v>2</v>
      </c>
      <c r="H14" s="107" t="s">
        <v>30</v>
      </c>
      <c r="I14" s="107">
        <v>1</v>
      </c>
      <c r="J14" s="117"/>
      <c r="K14" s="123">
        <v>0</v>
      </c>
      <c r="L14" s="123" t="s">
        <v>30</v>
      </c>
      <c r="M14" s="123">
        <v>1</v>
      </c>
      <c r="N14" s="123">
        <f t="shared" si="11"/>
        <v>0</v>
      </c>
      <c r="O14" s="118"/>
      <c r="P14" s="109">
        <v>1</v>
      </c>
      <c r="Q14" s="109" t="s">
        <v>30</v>
      </c>
      <c r="R14" s="109">
        <v>2</v>
      </c>
      <c r="S14" s="109">
        <f t="shared" si="4"/>
        <v>0</v>
      </c>
      <c r="T14" s="108"/>
      <c r="U14" s="223">
        <v>1</v>
      </c>
      <c r="V14" s="223" t="s">
        <v>30</v>
      </c>
      <c r="W14" s="223">
        <v>1</v>
      </c>
      <c r="X14" s="223">
        <f t="shared" si="5"/>
        <v>0</v>
      </c>
      <c r="Y14" s="108"/>
      <c r="Z14" s="165">
        <v>1</v>
      </c>
      <c r="AA14" s="165" t="s">
        <v>30</v>
      </c>
      <c r="AB14" s="165">
        <v>1</v>
      </c>
      <c r="AC14" s="165">
        <f t="shared" si="6"/>
        <v>0</v>
      </c>
      <c r="AD14" s="108"/>
      <c r="AE14" s="112">
        <v>2</v>
      </c>
      <c r="AF14" s="112" t="s">
        <v>30</v>
      </c>
      <c r="AG14" s="112">
        <v>2</v>
      </c>
      <c r="AH14" s="112">
        <f t="shared" si="7"/>
        <v>0</v>
      </c>
      <c r="AI14" s="108"/>
      <c r="AJ14" s="113">
        <v>1</v>
      </c>
      <c r="AK14" s="113" t="s">
        <v>30</v>
      </c>
      <c r="AL14" s="113">
        <v>1</v>
      </c>
      <c r="AM14" s="113">
        <f t="shared" si="8"/>
        <v>0</v>
      </c>
      <c r="AN14" s="108"/>
      <c r="AO14" s="114">
        <v>1</v>
      </c>
      <c r="AP14" s="114" t="s">
        <v>30</v>
      </c>
      <c r="AQ14" s="114">
        <v>0</v>
      </c>
      <c r="AR14" s="114">
        <v>6</v>
      </c>
      <c r="AS14" s="115"/>
      <c r="AT14" s="190">
        <v>1</v>
      </c>
      <c r="AU14" s="190" t="s">
        <v>30</v>
      </c>
      <c r="AV14" s="190">
        <v>1</v>
      </c>
      <c r="AW14" s="190">
        <f t="shared" si="10"/>
        <v>0</v>
      </c>
      <c r="AX14" s="115"/>
      <c r="AY14" s="131">
        <v>1</v>
      </c>
      <c r="AZ14" s="131" t="s">
        <v>30</v>
      </c>
      <c r="BA14" s="131">
        <v>1</v>
      </c>
      <c r="BB14" s="131">
        <f>IF(OR(G14="", I14="", AY14="", BA14=""), "", IF(AND(G14=AY14, I14=BA14), $F$3, IF(G14-I14=AY14-BA14, $F$4, IF(AND(G14=I14, AY14=BA14),$F$6, IF(SIGN(G14-I14)=SIGN(AY14-BA14), $F$5, 0)))))</f>
        <v>0</v>
      </c>
      <c r="BC14" s="115"/>
      <c r="BD14" s="151">
        <v>1</v>
      </c>
      <c r="BE14" s="151" t="s">
        <v>30</v>
      </c>
      <c r="BF14" s="151">
        <v>1</v>
      </c>
      <c r="BG14" s="150">
        <f>IF(OR(G14="", I14="", BD14="", BF14=""), "", IF(AND(G14=BD14, I14=BF14), $F$3, IF(G14-I14=BD14-BF14, $F$4, IF(AND(G14=I14, BD14=BF14),$F$6, IF(SIGN(G14-I14)=SIGN(BD14-BF14), $F$5, 0)))))</f>
        <v>0</v>
      </c>
      <c r="BH14" s="216"/>
      <c r="BI14" s="123">
        <v>1</v>
      </c>
      <c r="BJ14" s="123" t="s">
        <v>30</v>
      </c>
      <c r="BK14" s="123">
        <v>3</v>
      </c>
      <c r="BL14" s="123">
        <v>0</v>
      </c>
      <c r="BM14" s="216"/>
      <c r="BN14" s="217"/>
      <c r="BO14" s="217" t="s">
        <v>30</v>
      </c>
      <c r="BP14" s="217"/>
      <c r="BQ14" s="217" t="str">
        <f t="shared" si="3"/>
        <v/>
      </c>
    </row>
    <row r="15" spans="1:69" ht="39.950000000000003" customHeight="1" thickBot="1" x14ac:dyDescent="0.3">
      <c r="A15" s="26" t="s">
        <v>42</v>
      </c>
      <c r="B15" s="187">
        <v>0.83333333333333304</v>
      </c>
      <c r="C15" s="26" t="s">
        <v>46</v>
      </c>
      <c r="D15" s="26" t="s">
        <v>18</v>
      </c>
      <c r="E15" s="245"/>
      <c r="G15" s="107">
        <v>2</v>
      </c>
      <c r="H15" s="107" t="s">
        <v>30</v>
      </c>
      <c r="I15" s="107">
        <v>1</v>
      </c>
      <c r="J15" s="117"/>
      <c r="K15" s="123">
        <v>1</v>
      </c>
      <c r="L15" s="123" t="s">
        <v>30</v>
      </c>
      <c r="M15" s="123">
        <v>1</v>
      </c>
      <c r="N15" s="123">
        <f t="shared" si="11"/>
        <v>0</v>
      </c>
      <c r="O15" s="118"/>
      <c r="P15" s="109">
        <v>1</v>
      </c>
      <c r="Q15" s="109" t="s">
        <v>30</v>
      </c>
      <c r="R15" s="109">
        <v>0</v>
      </c>
      <c r="S15" s="109">
        <v>6</v>
      </c>
      <c r="T15" s="108"/>
      <c r="U15" s="223">
        <v>1</v>
      </c>
      <c r="V15" s="223" t="s">
        <v>30</v>
      </c>
      <c r="W15" s="223">
        <v>1</v>
      </c>
      <c r="X15" s="223">
        <f t="shared" si="5"/>
        <v>0</v>
      </c>
      <c r="Y15" s="108"/>
      <c r="Z15" s="165">
        <v>2</v>
      </c>
      <c r="AA15" s="165" t="s">
        <v>30</v>
      </c>
      <c r="AB15" s="165">
        <v>1</v>
      </c>
      <c r="AC15" s="165">
        <f t="shared" si="6"/>
        <v>15</v>
      </c>
      <c r="AD15" s="108"/>
      <c r="AE15" s="112">
        <v>2</v>
      </c>
      <c r="AF15" s="112" t="s">
        <v>30</v>
      </c>
      <c r="AG15" s="112">
        <v>1</v>
      </c>
      <c r="AH15" s="112">
        <f t="shared" si="7"/>
        <v>15</v>
      </c>
      <c r="AI15" s="108"/>
      <c r="AJ15" s="113">
        <v>1</v>
      </c>
      <c r="AK15" s="113" t="s">
        <v>30</v>
      </c>
      <c r="AL15" s="113">
        <v>1</v>
      </c>
      <c r="AM15" s="113">
        <f t="shared" si="8"/>
        <v>0</v>
      </c>
      <c r="AN15" s="108"/>
      <c r="AO15" s="114">
        <v>2</v>
      </c>
      <c r="AP15" s="114" t="s">
        <v>30</v>
      </c>
      <c r="AQ15" s="114">
        <v>1</v>
      </c>
      <c r="AR15" s="114">
        <f t="shared" si="9"/>
        <v>15</v>
      </c>
      <c r="AS15" s="115"/>
      <c r="AT15" s="190">
        <v>2</v>
      </c>
      <c r="AU15" s="190" t="s">
        <v>30</v>
      </c>
      <c r="AV15" s="190">
        <v>1</v>
      </c>
      <c r="AW15" s="190">
        <f t="shared" si="10"/>
        <v>15</v>
      </c>
      <c r="AX15" s="115"/>
      <c r="AY15" s="131">
        <v>2</v>
      </c>
      <c r="AZ15" s="131" t="s">
        <v>30</v>
      </c>
      <c r="BA15" s="131">
        <v>0</v>
      </c>
      <c r="BB15" s="131">
        <f t="shared" ref="BB15:BB25" si="13">IF(OR(G15="", I15="", AY15="", BA15=""), "", IF(AND(G15=AY15, I15=BA15), $F$3, IF(G15-I15=AY15-BA15, $F$4, IF(AND(G15=I15, AY15=BA15),$F$6, IF(SIGN(G15-I15)=SIGN(AY15-BA15), $F$5, 0)))))</f>
        <v>4</v>
      </c>
      <c r="BC15" s="115"/>
      <c r="BD15" s="151">
        <v>2</v>
      </c>
      <c r="BE15" s="151" t="s">
        <v>30</v>
      </c>
      <c r="BF15" s="151">
        <v>1</v>
      </c>
      <c r="BG15" s="150">
        <f t="shared" ref="BG15" si="14">IF(OR(G15="", I15="", BD15="", BF15=""), "", IF(AND(G15=BD15, I15=BF15), $F$3, IF(G15-I15=BD15-BF15, $F$4, IF(AND(G15=I15, BD15=BF15),$F$6, IF(SIGN(G15-I15)=SIGN(BD15-BF15), $F$5, 0)))))</f>
        <v>15</v>
      </c>
      <c r="BH15" s="216"/>
      <c r="BI15" s="123">
        <v>2</v>
      </c>
      <c r="BJ15" s="123" t="s">
        <v>30</v>
      </c>
      <c r="BK15" s="123">
        <v>2</v>
      </c>
      <c r="BL15" s="123">
        <v>0</v>
      </c>
      <c r="BM15" s="216"/>
      <c r="BN15" s="217"/>
      <c r="BO15" s="217" t="s">
        <v>30</v>
      </c>
      <c r="BP15" s="217"/>
      <c r="BQ15" s="217" t="str">
        <f t="shared" si="3"/>
        <v/>
      </c>
    </row>
    <row r="16" spans="1:69" ht="39.950000000000003" customHeight="1" thickBot="1" x14ac:dyDescent="0.3">
      <c r="A16" s="26" t="s">
        <v>43</v>
      </c>
      <c r="B16" s="187">
        <v>0.75</v>
      </c>
      <c r="C16" s="26" t="s">
        <v>38</v>
      </c>
      <c r="D16" s="26" t="s">
        <v>45</v>
      </c>
      <c r="E16" s="246"/>
      <c r="G16" s="107">
        <v>2</v>
      </c>
      <c r="H16" s="107" t="s">
        <v>30</v>
      </c>
      <c r="I16" s="107">
        <v>4</v>
      </c>
      <c r="J16" s="117"/>
      <c r="K16" s="123">
        <v>0</v>
      </c>
      <c r="L16" s="123" t="s">
        <v>30</v>
      </c>
      <c r="M16" s="123">
        <v>2</v>
      </c>
      <c r="N16" s="123">
        <v>6</v>
      </c>
      <c r="O16" s="118"/>
      <c r="P16" s="109">
        <v>1</v>
      </c>
      <c r="Q16" s="109" t="s">
        <v>30</v>
      </c>
      <c r="R16" s="109">
        <v>1</v>
      </c>
      <c r="S16" s="109">
        <f t="shared" si="4"/>
        <v>0</v>
      </c>
      <c r="T16" s="108"/>
      <c r="U16" s="223">
        <v>0</v>
      </c>
      <c r="V16" s="223" t="s">
        <v>30</v>
      </c>
      <c r="W16" s="223">
        <v>2</v>
      </c>
      <c r="X16" s="223">
        <v>6</v>
      </c>
      <c r="Y16" s="108"/>
      <c r="Z16" s="165">
        <v>0</v>
      </c>
      <c r="AA16" s="165" t="s">
        <v>30</v>
      </c>
      <c r="AB16" s="165">
        <v>2</v>
      </c>
      <c r="AC16" s="165">
        <v>6</v>
      </c>
      <c r="AD16" s="108"/>
      <c r="AE16" s="112">
        <v>1</v>
      </c>
      <c r="AF16" s="112" t="s">
        <v>30</v>
      </c>
      <c r="AG16" s="112">
        <v>2</v>
      </c>
      <c r="AH16" s="112">
        <f t="shared" si="7"/>
        <v>4</v>
      </c>
      <c r="AI16" s="108"/>
      <c r="AJ16" s="113">
        <v>0</v>
      </c>
      <c r="AK16" s="113" t="s">
        <v>30</v>
      </c>
      <c r="AL16" s="113">
        <v>2</v>
      </c>
      <c r="AM16" s="113">
        <v>6</v>
      </c>
      <c r="AN16" s="108"/>
      <c r="AO16" s="114">
        <v>0</v>
      </c>
      <c r="AP16" s="114" t="s">
        <v>30</v>
      </c>
      <c r="AQ16" s="114">
        <v>2</v>
      </c>
      <c r="AR16" s="114">
        <v>6</v>
      </c>
      <c r="AS16" s="115"/>
      <c r="AT16" s="190">
        <v>1</v>
      </c>
      <c r="AU16" s="190" t="s">
        <v>30</v>
      </c>
      <c r="AV16" s="190">
        <v>0</v>
      </c>
      <c r="AW16" s="190">
        <f t="shared" si="10"/>
        <v>0</v>
      </c>
      <c r="AX16" s="115"/>
      <c r="AY16" s="131">
        <v>1</v>
      </c>
      <c r="AZ16" s="131" t="s">
        <v>30</v>
      </c>
      <c r="BA16" s="131">
        <v>2</v>
      </c>
      <c r="BB16" s="131">
        <f t="shared" si="13"/>
        <v>4</v>
      </c>
      <c r="BC16" s="115"/>
      <c r="BD16" s="151">
        <v>1</v>
      </c>
      <c r="BE16" s="151" t="s">
        <v>30</v>
      </c>
      <c r="BF16" s="151">
        <v>3</v>
      </c>
      <c r="BG16" s="150">
        <v>6</v>
      </c>
      <c r="BH16" s="216"/>
      <c r="BI16" s="123">
        <v>0</v>
      </c>
      <c r="BJ16" s="123" t="s">
        <v>30</v>
      </c>
      <c r="BK16" s="123">
        <v>3</v>
      </c>
      <c r="BL16" s="123">
        <v>4</v>
      </c>
      <c r="BM16" s="216"/>
      <c r="BN16" s="88">
        <v>0</v>
      </c>
      <c r="BO16" s="88" t="s">
        <v>30</v>
      </c>
      <c r="BP16" s="88">
        <v>2</v>
      </c>
      <c r="BQ16" s="217">
        <v>12</v>
      </c>
    </row>
    <row r="17" spans="1:69" s="11" customFormat="1" ht="29.25" thickBot="1" x14ac:dyDescent="0.3">
      <c r="A17"/>
      <c r="B17" s="188"/>
      <c r="C17"/>
      <c r="D17"/>
      <c r="E17"/>
      <c r="F17" s="5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66"/>
      <c r="AA17" s="166"/>
      <c r="AB17" s="16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</row>
    <row r="18" spans="1:69" ht="39.950000000000003" customHeight="1" thickBot="1" x14ac:dyDescent="0.3">
      <c r="A18" s="26" t="s">
        <v>47</v>
      </c>
      <c r="B18" s="187">
        <v>0.79166666666666663</v>
      </c>
      <c r="C18" s="26" t="s">
        <v>23</v>
      </c>
      <c r="D18" s="26" t="s">
        <v>29</v>
      </c>
      <c r="E18" s="244" t="s">
        <v>33</v>
      </c>
      <c r="F18" s="16"/>
      <c r="G18" s="107">
        <v>3</v>
      </c>
      <c r="H18" s="107" t="s">
        <v>30</v>
      </c>
      <c r="I18" s="107">
        <v>1</v>
      </c>
      <c r="J18" s="117"/>
      <c r="K18" s="232">
        <v>2</v>
      </c>
      <c r="L18" s="233" t="s">
        <v>30</v>
      </c>
      <c r="M18" s="233">
        <v>0</v>
      </c>
      <c r="N18" s="123">
        <v>12</v>
      </c>
      <c r="O18" s="118"/>
      <c r="P18" s="88">
        <v>4</v>
      </c>
      <c r="Q18" s="88" t="s">
        <v>30</v>
      </c>
      <c r="R18" s="88">
        <v>0</v>
      </c>
      <c r="S18" s="109">
        <v>8</v>
      </c>
      <c r="T18" s="108"/>
      <c r="U18" s="223">
        <v>3</v>
      </c>
      <c r="V18" s="223" t="s">
        <v>30</v>
      </c>
      <c r="W18" s="223">
        <v>1</v>
      </c>
      <c r="X18" s="110">
        <f t="shared" si="5"/>
        <v>15</v>
      </c>
      <c r="Y18" s="108"/>
      <c r="Z18" s="165">
        <v>3</v>
      </c>
      <c r="AA18" s="165" t="s">
        <v>30</v>
      </c>
      <c r="AB18" s="165">
        <v>0</v>
      </c>
      <c r="AC18" s="111">
        <f t="shared" si="6"/>
        <v>4</v>
      </c>
      <c r="AD18" s="108"/>
      <c r="AE18" s="88">
        <v>2</v>
      </c>
      <c r="AF18" s="88" t="s">
        <v>30</v>
      </c>
      <c r="AG18" s="88">
        <v>0</v>
      </c>
      <c r="AH18" s="112">
        <v>12</v>
      </c>
      <c r="AI18" s="108"/>
      <c r="AJ18" s="88">
        <v>3</v>
      </c>
      <c r="AK18" s="88" t="s">
        <v>30</v>
      </c>
      <c r="AL18" s="88">
        <v>0</v>
      </c>
      <c r="AM18" s="113">
        <v>8</v>
      </c>
      <c r="AN18" s="108"/>
      <c r="AO18" s="114">
        <v>2</v>
      </c>
      <c r="AP18" s="114" t="s">
        <v>30</v>
      </c>
      <c r="AQ18" s="114">
        <v>0</v>
      </c>
      <c r="AR18" s="114">
        <v>6</v>
      </c>
      <c r="AS18" s="115"/>
      <c r="AT18" s="190">
        <v>3</v>
      </c>
      <c r="AU18" s="190" t="s">
        <v>30</v>
      </c>
      <c r="AV18" s="190">
        <v>0</v>
      </c>
      <c r="AW18" s="190">
        <f t="shared" si="10"/>
        <v>4</v>
      </c>
      <c r="AX18" s="115"/>
      <c r="AY18" s="131">
        <v>2</v>
      </c>
      <c r="AZ18" s="131" t="s">
        <v>30</v>
      </c>
      <c r="BA18" s="131">
        <v>0</v>
      </c>
      <c r="BB18" s="131">
        <v>6</v>
      </c>
      <c r="BC18" s="115"/>
      <c r="BD18" s="88">
        <v>2</v>
      </c>
      <c r="BE18" s="88" t="s">
        <v>30</v>
      </c>
      <c r="BF18" s="88">
        <v>0</v>
      </c>
      <c r="BG18" s="150">
        <v>12</v>
      </c>
      <c r="BH18" s="216"/>
      <c r="BI18" s="123">
        <v>3</v>
      </c>
      <c r="BJ18" s="123" t="s">
        <v>30</v>
      </c>
      <c r="BK18" s="123">
        <v>0</v>
      </c>
      <c r="BL18" s="123">
        <v>4</v>
      </c>
      <c r="BM18" s="216"/>
      <c r="BN18" s="88">
        <v>2</v>
      </c>
      <c r="BO18" s="88" t="s">
        <v>30</v>
      </c>
      <c r="BP18" s="88">
        <v>0</v>
      </c>
      <c r="BQ18" s="238">
        <v>12</v>
      </c>
    </row>
    <row r="19" spans="1:69" ht="39.950000000000003" customHeight="1" thickBot="1" x14ac:dyDescent="0.3">
      <c r="A19" s="26" t="s">
        <v>48</v>
      </c>
      <c r="B19" s="187">
        <v>0.70833333333333337</v>
      </c>
      <c r="C19" s="26" t="s">
        <v>44</v>
      </c>
      <c r="D19" s="26" t="s">
        <v>22</v>
      </c>
      <c r="E19" s="245"/>
      <c r="G19" s="107">
        <v>0</v>
      </c>
      <c r="H19" s="107" t="s">
        <v>30</v>
      </c>
      <c r="I19" s="107">
        <v>4</v>
      </c>
      <c r="J19" s="117"/>
      <c r="K19" s="234">
        <v>0</v>
      </c>
      <c r="L19" s="235" t="s">
        <v>30</v>
      </c>
      <c r="M19" s="235">
        <v>2</v>
      </c>
      <c r="N19" s="123">
        <f t="shared" si="11"/>
        <v>4</v>
      </c>
      <c r="O19" s="118"/>
      <c r="P19" s="109">
        <v>1</v>
      </c>
      <c r="Q19" s="109" t="s">
        <v>30</v>
      </c>
      <c r="R19" s="109">
        <v>3</v>
      </c>
      <c r="S19" s="109">
        <f t="shared" si="4"/>
        <v>4</v>
      </c>
      <c r="T19" s="108"/>
      <c r="U19" s="88">
        <v>0</v>
      </c>
      <c r="V19" s="88" t="s">
        <v>30</v>
      </c>
      <c r="W19" s="88">
        <v>3</v>
      </c>
      <c r="X19" s="110">
        <v>8</v>
      </c>
      <c r="Y19" s="108"/>
      <c r="Z19" s="165">
        <v>1</v>
      </c>
      <c r="AA19" s="165" t="s">
        <v>30</v>
      </c>
      <c r="AB19" s="165">
        <v>2</v>
      </c>
      <c r="AC19" s="111">
        <f t="shared" si="6"/>
        <v>4</v>
      </c>
      <c r="AD19" s="108"/>
      <c r="AE19" s="112">
        <v>1</v>
      </c>
      <c r="AF19" s="112" t="s">
        <v>30</v>
      </c>
      <c r="AG19" s="112">
        <v>2</v>
      </c>
      <c r="AH19" s="112">
        <f t="shared" si="7"/>
        <v>4</v>
      </c>
      <c r="AI19" s="108"/>
      <c r="AJ19" s="113">
        <v>1</v>
      </c>
      <c r="AK19" s="113" t="s">
        <v>30</v>
      </c>
      <c r="AL19" s="113">
        <v>3</v>
      </c>
      <c r="AM19" s="113">
        <f t="shared" si="8"/>
        <v>4</v>
      </c>
      <c r="AN19" s="108"/>
      <c r="AO19" s="88">
        <v>0</v>
      </c>
      <c r="AP19" s="88" t="s">
        <v>30</v>
      </c>
      <c r="AQ19" s="88">
        <v>3</v>
      </c>
      <c r="AR19" s="114">
        <v>8</v>
      </c>
      <c r="AS19" s="115"/>
      <c r="AT19" s="190">
        <v>1</v>
      </c>
      <c r="AU19" s="190" t="s">
        <v>30</v>
      </c>
      <c r="AV19" s="190">
        <v>2</v>
      </c>
      <c r="AW19" s="190">
        <f t="shared" si="10"/>
        <v>4</v>
      </c>
      <c r="AX19" s="115"/>
      <c r="AY19" s="197">
        <v>0</v>
      </c>
      <c r="AZ19" s="197" t="s">
        <v>30</v>
      </c>
      <c r="BA19" s="197">
        <v>2</v>
      </c>
      <c r="BB19" s="131">
        <v>8</v>
      </c>
      <c r="BC19" s="115"/>
      <c r="BD19" s="151">
        <v>1</v>
      </c>
      <c r="BE19" s="151" t="s">
        <v>30</v>
      </c>
      <c r="BF19" s="151">
        <v>2</v>
      </c>
      <c r="BG19" s="150">
        <f t="shared" ref="BG19:BG25" si="15">IF(OR(G19="", I19="", BD19="", BF19=""), "", IF(AND(G19=BD19, I19=BF19), $F$3, IF(G19-I19=BD19-BF19, $F$4, IF(AND(G19=I19, BD19=BF19),$F$6, IF(SIGN(G19-I19)=SIGN(BD19-BF19), $F$5, 0)))))</f>
        <v>4</v>
      </c>
      <c r="BH19" s="216"/>
      <c r="BI19" s="123">
        <v>0</v>
      </c>
      <c r="BJ19" s="123" t="s">
        <v>30</v>
      </c>
      <c r="BK19" s="123">
        <v>2</v>
      </c>
      <c r="BL19" s="123">
        <v>4</v>
      </c>
      <c r="BM19" s="216"/>
      <c r="BN19" s="237">
        <v>1</v>
      </c>
      <c r="BO19" s="237" t="s">
        <v>30</v>
      </c>
      <c r="BP19" s="237">
        <v>2</v>
      </c>
      <c r="BQ19" s="238">
        <v>4</v>
      </c>
    </row>
    <row r="20" spans="1:69" ht="39.950000000000003" customHeight="1" thickBot="1" x14ac:dyDescent="0.3">
      <c r="A20" s="26" t="s">
        <v>48</v>
      </c>
      <c r="B20" s="187">
        <v>0.70833333333333337</v>
      </c>
      <c r="C20" s="26" t="s">
        <v>20</v>
      </c>
      <c r="D20" s="26" t="s">
        <v>38</v>
      </c>
      <c r="E20" s="245"/>
      <c r="G20" s="107">
        <v>1</v>
      </c>
      <c r="H20" s="107" t="s">
        <v>30</v>
      </c>
      <c r="I20" s="107">
        <v>1</v>
      </c>
      <c r="J20" s="117"/>
      <c r="K20" s="234">
        <v>1</v>
      </c>
      <c r="L20" s="235" t="s">
        <v>30</v>
      </c>
      <c r="M20" s="235">
        <v>0</v>
      </c>
      <c r="N20" s="123">
        <f t="shared" si="11"/>
        <v>0</v>
      </c>
      <c r="O20" s="118"/>
      <c r="P20" s="109">
        <v>2</v>
      </c>
      <c r="Q20" s="109" t="s">
        <v>30</v>
      </c>
      <c r="R20" s="109">
        <v>2</v>
      </c>
      <c r="S20" s="109">
        <f t="shared" si="4"/>
        <v>8</v>
      </c>
      <c r="T20" s="108"/>
      <c r="U20" s="223">
        <v>2</v>
      </c>
      <c r="V20" s="223" t="s">
        <v>30</v>
      </c>
      <c r="W20" s="223">
        <v>1</v>
      </c>
      <c r="X20" s="110">
        <f t="shared" si="5"/>
        <v>0</v>
      </c>
      <c r="Y20" s="108"/>
      <c r="Z20" s="165">
        <v>1</v>
      </c>
      <c r="AA20" s="165" t="s">
        <v>30</v>
      </c>
      <c r="AB20" s="165">
        <v>1</v>
      </c>
      <c r="AC20" s="111">
        <f t="shared" si="6"/>
        <v>15</v>
      </c>
      <c r="AD20" s="108"/>
      <c r="AE20" s="112">
        <v>1</v>
      </c>
      <c r="AF20" s="112" t="s">
        <v>30</v>
      </c>
      <c r="AG20" s="112">
        <v>1</v>
      </c>
      <c r="AH20" s="112">
        <f t="shared" si="7"/>
        <v>15</v>
      </c>
      <c r="AI20" s="108"/>
      <c r="AJ20" s="113">
        <v>2</v>
      </c>
      <c r="AK20" s="113" t="s">
        <v>30</v>
      </c>
      <c r="AL20" s="113">
        <v>1</v>
      </c>
      <c r="AM20" s="113">
        <f t="shared" si="8"/>
        <v>0</v>
      </c>
      <c r="AN20" s="108"/>
      <c r="AO20" s="114">
        <v>0</v>
      </c>
      <c r="AP20" s="114" t="s">
        <v>30</v>
      </c>
      <c r="AQ20" s="114">
        <v>1</v>
      </c>
      <c r="AR20" s="114">
        <f t="shared" si="9"/>
        <v>0</v>
      </c>
      <c r="AS20" s="115"/>
      <c r="AT20" s="190">
        <v>1</v>
      </c>
      <c r="AU20" s="190" t="s">
        <v>30</v>
      </c>
      <c r="AV20" s="190">
        <v>2</v>
      </c>
      <c r="AW20" s="190">
        <f t="shared" si="10"/>
        <v>0</v>
      </c>
      <c r="AX20" s="115"/>
      <c r="AY20" s="131">
        <v>1</v>
      </c>
      <c r="AZ20" s="131" t="s">
        <v>30</v>
      </c>
      <c r="BA20" s="131">
        <v>1</v>
      </c>
      <c r="BB20" s="131">
        <f t="shared" si="13"/>
        <v>15</v>
      </c>
      <c r="BC20" s="115"/>
      <c r="BD20" s="151">
        <v>1</v>
      </c>
      <c r="BE20" s="151" t="s">
        <v>30</v>
      </c>
      <c r="BF20" s="151">
        <v>1</v>
      </c>
      <c r="BG20" s="150">
        <f t="shared" si="15"/>
        <v>15</v>
      </c>
      <c r="BH20" s="216"/>
      <c r="BI20" s="197">
        <v>1</v>
      </c>
      <c r="BJ20" s="197" t="s">
        <v>30</v>
      </c>
      <c r="BK20" s="197">
        <v>1</v>
      </c>
      <c r="BL20" s="190">
        <v>30</v>
      </c>
      <c r="BM20" s="216"/>
      <c r="BN20" s="237">
        <v>3</v>
      </c>
      <c r="BO20" s="237" t="s">
        <v>30</v>
      </c>
      <c r="BP20" s="237">
        <v>2</v>
      </c>
      <c r="BQ20" s="238">
        <v>0</v>
      </c>
    </row>
    <row r="21" spans="1:69" ht="39.950000000000003" customHeight="1" thickBot="1" x14ac:dyDescent="0.3">
      <c r="A21" s="26" t="s">
        <v>48</v>
      </c>
      <c r="B21" s="187">
        <v>0.70833333333333337</v>
      </c>
      <c r="C21" s="26" t="s">
        <v>16</v>
      </c>
      <c r="D21" s="26" t="s">
        <v>21</v>
      </c>
      <c r="E21" s="245"/>
      <c r="G21" s="107">
        <v>0</v>
      </c>
      <c r="H21" s="107" t="s">
        <v>30</v>
      </c>
      <c r="I21" s="107">
        <v>1</v>
      </c>
      <c r="J21" s="117"/>
      <c r="K21" s="234">
        <v>2</v>
      </c>
      <c r="L21" s="235" t="s">
        <v>30</v>
      </c>
      <c r="M21" s="235">
        <v>0</v>
      </c>
      <c r="N21" s="123">
        <f t="shared" si="11"/>
        <v>0</v>
      </c>
      <c r="O21" s="118"/>
      <c r="P21" s="109">
        <v>2</v>
      </c>
      <c r="Q21" s="109" t="s">
        <v>30</v>
      </c>
      <c r="R21" s="109">
        <v>1</v>
      </c>
      <c r="S21" s="109">
        <f t="shared" si="4"/>
        <v>0</v>
      </c>
      <c r="T21" s="108"/>
      <c r="U21" s="223">
        <v>2</v>
      </c>
      <c r="V21" s="223" t="s">
        <v>30</v>
      </c>
      <c r="W21" s="223">
        <v>1</v>
      </c>
      <c r="X21" s="110">
        <f t="shared" si="5"/>
        <v>0</v>
      </c>
      <c r="Y21" s="108"/>
      <c r="Z21" s="88">
        <v>2</v>
      </c>
      <c r="AA21" s="88" t="s">
        <v>30</v>
      </c>
      <c r="AB21" s="88">
        <v>0</v>
      </c>
      <c r="AC21" s="111">
        <f t="shared" si="6"/>
        <v>0</v>
      </c>
      <c r="AD21" s="108"/>
      <c r="AE21" s="112">
        <v>2</v>
      </c>
      <c r="AF21" s="112" t="s">
        <v>30</v>
      </c>
      <c r="AG21" s="112">
        <v>1</v>
      </c>
      <c r="AH21" s="112">
        <f t="shared" si="7"/>
        <v>0</v>
      </c>
      <c r="AI21" s="108"/>
      <c r="AJ21" s="113">
        <v>2</v>
      </c>
      <c r="AK21" s="113" t="s">
        <v>30</v>
      </c>
      <c r="AL21" s="113">
        <v>0</v>
      </c>
      <c r="AM21" s="113">
        <f t="shared" si="8"/>
        <v>0</v>
      </c>
      <c r="AN21" s="108"/>
      <c r="AO21" s="114">
        <v>2</v>
      </c>
      <c r="AP21" s="114" t="s">
        <v>30</v>
      </c>
      <c r="AQ21" s="114">
        <v>0</v>
      </c>
      <c r="AR21" s="114">
        <f t="shared" si="9"/>
        <v>0</v>
      </c>
      <c r="AS21" s="115"/>
      <c r="AT21" s="190">
        <v>2</v>
      </c>
      <c r="AU21" s="190" t="s">
        <v>30</v>
      </c>
      <c r="AV21" s="190">
        <v>1</v>
      </c>
      <c r="AW21" s="190">
        <f t="shared" si="10"/>
        <v>0</v>
      </c>
      <c r="AX21" s="115"/>
      <c r="AY21" s="131">
        <v>2</v>
      </c>
      <c r="AZ21" s="131" t="s">
        <v>30</v>
      </c>
      <c r="BA21" s="131">
        <v>0</v>
      </c>
      <c r="BB21" s="131">
        <f t="shared" si="13"/>
        <v>0</v>
      </c>
      <c r="BC21" s="115"/>
      <c r="BD21" s="151">
        <v>3</v>
      </c>
      <c r="BE21" s="151" t="s">
        <v>30</v>
      </c>
      <c r="BF21" s="151">
        <v>1</v>
      </c>
      <c r="BG21" s="150">
        <f t="shared" si="15"/>
        <v>0</v>
      </c>
      <c r="BH21" s="216"/>
      <c r="BI21" s="123">
        <v>2</v>
      </c>
      <c r="BJ21" s="123" t="s">
        <v>30</v>
      </c>
      <c r="BK21" s="123">
        <v>2</v>
      </c>
      <c r="BL21" s="123">
        <v>0</v>
      </c>
      <c r="BM21" s="216"/>
      <c r="BN21" s="237">
        <v>1</v>
      </c>
      <c r="BO21" s="237" t="s">
        <v>30</v>
      </c>
      <c r="BP21" s="237">
        <v>0</v>
      </c>
      <c r="BQ21" s="238">
        <v>0</v>
      </c>
    </row>
    <row r="22" spans="1:69" s="3" customFormat="1" ht="39.950000000000003" customHeight="1" thickBot="1" x14ac:dyDescent="0.3">
      <c r="A22" s="26" t="s">
        <v>48</v>
      </c>
      <c r="B22" s="187">
        <v>0.83333333333333337</v>
      </c>
      <c r="C22" s="26" t="s">
        <v>15</v>
      </c>
      <c r="D22" s="26" t="s">
        <v>37</v>
      </c>
      <c r="E22" s="245"/>
      <c r="F22" s="6"/>
      <c r="G22" s="107">
        <v>1</v>
      </c>
      <c r="H22" s="107" t="s">
        <v>30</v>
      </c>
      <c r="I22" s="107">
        <v>1</v>
      </c>
      <c r="J22" s="117"/>
      <c r="K22" s="234">
        <v>2</v>
      </c>
      <c r="L22" s="235" t="s">
        <v>30</v>
      </c>
      <c r="M22" s="235">
        <v>1</v>
      </c>
      <c r="N22" s="123">
        <f t="shared" si="11"/>
        <v>0</v>
      </c>
      <c r="O22" s="118"/>
      <c r="P22" s="109">
        <v>1</v>
      </c>
      <c r="Q22" s="109" t="s">
        <v>30</v>
      </c>
      <c r="R22" s="109">
        <v>1</v>
      </c>
      <c r="S22" s="109">
        <f t="shared" si="4"/>
        <v>15</v>
      </c>
      <c r="T22" s="108"/>
      <c r="U22" s="223">
        <v>2</v>
      </c>
      <c r="V22" s="223" t="s">
        <v>30</v>
      </c>
      <c r="W22" s="223">
        <v>2</v>
      </c>
      <c r="X22" s="110">
        <f t="shared" si="5"/>
        <v>8</v>
      </c>
      <c r="Y22" s="108"/>
      <c r="Z22" s="165">
        <v>1</v>
      </c>
      <c r="AA22" s="165" t="s">
        <v>30</v>
      </c>
      <c r="AB22" s="165">
        <v>2</v>
      </c>
      <c r="AC22" s="111">
        <f t="shared" si="6"/>
        <v>0</v>
      </c>
      <c r="AD22" s="108"/>
      <c r="AE22" s="112">
        <v>2</v>
      </c>
      <c r="AF22" s="112" t="s">
        <v>30</v>
      </c>
      <c r="AG22" s="112">
        <v>0</v>
      </c>
      <c r="AH22" s="112">
        <f t="shared" si="7"/>
        <v>0</v>
      </c>
      <c r="AI22" s="108"/>
      <c r="AJ22" s="113">
        <v>2</v>
      </c>
      <c r="AK22" s="113" t="s">
        <v>30</v>
      </c>
      <c r="AL22" s="113">
        <v>1</v>
      </c>
      <c r="AM22" s="113">
        <f t="shared" si="8"/>
        <v>0</v>
      </c>
      <c r="AN22" s="108"/>
      <c r="AO22" s="114">
        <v>2</v>
      </c>
      <c r="AP22" s="114" t="s">
        <v>30</v>
      </c>
      <c r="AQ22" s="114">
        <v>1</v>
      </c>
      <c r="AR22" s="114">
        <f t="shared" si="9"/>
        <v>0</v>
      </c>
      <c r="AS22" s="115"/>
      <c r="AT22" s="190">
        <v>2</v>
      </c>
      <c r="AU22" s="190" t="s">
        <v>30</v>
      </c>
      <c r="AV22" s="190">
        <v>0</v>
      </c>
      <c r="AW22" s="190">
        <f t="shared" si="10"/>
        <v>0</v>
      </c>
      <c r="AX22" s="115"/>
      <c r="AY22" s="131">
        <v>3</v>
      </c>
      <c r="AZ22" s="131" t="s">
        <v>30</v>
      </c>
      <c r="BA22" s="131">
        <v>1</v>
      </c>
      <c r="BB22" s="131">
        <f t="shared" si="13"/>
        <v>0</v>
      </c>
      <c r="BC22" s="115"/>
      <c r="BD22" s="151">
        <v>2</v>
      </c>
      <c r="BE22" s="151" t="s">
        <v>30</v>
      </c>
      <c r="BF22" s="151">
        <v>2</v>
      </c>
      <c r="BG22" s="150">
        <f t="shared" si="15"/>
        <v>8</v>
      </c>
      <c r="BH22" s="216"/>
      <c r="BI22" s="123">
        <v>2</v>
      </c>
      <c r="BJ22" s="123" t="s">
        <v>30</v>
      </c>
      <c r="BK22" s="123">
        <v>1</v>
      </c>
      <c r="BL22" s="123">
        <v>0</v>
      </c>
      <c r="BM22" s="216"/>
      <c r="BN22" s="237">
        <v>2</v>
      </c>
      <c r="BO22" s="237" t="s">
        <v>30</v>
      </c>
      <c r="BP22" s="237">
        <v>1</v>
      </c>
      <c r="BQ22" s="238">
        <v>0</v>
      </c>
    </row>
    <row r="23" spans="1:69" ht="39.950000000000003" customHeight="1" thickBot="1" x14ac:dyDescent="0.3">
      <c r="A23" s="26" t="s">
        <v>49</v>
      </c>
      <c r="B23" s="187">
        <v>0.625</v>
      </c>
      <c r="C23" s="26" t="s">
        <v>17</v>
      </c>
      <c r="D23" s="26" t="s">
        <v>45</v>
      </c>
      <c r="E23" s="245"/>
      <c r="G23" s="107">
        <v>2</v>
      </c>
      <c r="H23" s="107" t="s">
        <v>30</v>
      </c>
      <c r="I23" s="107">
        <v>2</v>
      </c>
      <c r="J23" s="117"/>
      <c r="K23" s="234">
        <v>1</v>
      </c>
      <c r="L23" s="235" t="s">
        <v>30</v>
      </c>
      <c r="M23" s="235">
        <v>1</v>
      </c>
      <c r="N23" s="123">
        <f t="shared" ref="N23" si="16">IF(OR(G23="", I23="", K23="", M23=""), "", IF(AND(G23=K23, I23=M23), $F$3, IF(G23-I23=K23-M23, $F$4, IF(AND(G23=I23, K23=M23),$F$6, IF(SIGN(G23-I23)=SIGN(K23-M23), $F$5, 0)))))</f>
        <v>8</v>
      </c>
      <c r="O23" s="118"/>
      <c r="P23" s="109">
        <v>2</v>
      </c>
      <c r="Q23" s="109" t="s">
        <v>30</v>
      </c>
      <c r="R23" s="109">
        <v>0</v>
      </c>
      <c r="S23" s="109">
        <f t="shared" si="4"/>
        <v>0</v>
      </c>
      <c r="T23" s="108"/>
      <c r="U23" s="223">
        <v>2</v>
      </c>
      <c r="V23" s="223" t="s">
        <v>30</v>
      </c>
      <c r="W23" s="223">
        <v>3</v>
      </c>
      <c r="X23" s="110">
        <f t="shared" si="5"/>
        <v>0</v>
      </c>
      <c r="Y23" s="108"/>
      <c r="Z23" s="165">
        <v>2</v>
      </c>
      <c r="AA23" s="165" t="s">
        <v>30</v>
      </c>
      <c r="AB23" s="165">
        <v>1</v>
      </c>
      <c r="AC23" s="111">
        <f t="shared" si="6"/>
        <v>0</v>
      </c>
      <c r="AD23" s="108"/>
      <c r="AE23" s="112">
        <v>1</v>
      </c>
      <c r="AF23" s="112" t="s">
        <v>30</v>
      </c>
      <c r="AG23" s="112">
        <v>2</v>
      </c>
      <c r="AH23" s="112">
        <f t="shared" si="7"/>
        <v>0</v>
      </c>
      <c r="AI23" s="108"/>
      <c r="AJ23" s="113">
        <v>3</v>
      </c>
      <c r="AK23" s="113" t="s">
        <v>30</v>
      </c>
      <c r="AL23" s="113">
        <v>2</v>
      </c>
      <c r="AM23" s="113">
        <f t="shared" si="8"/>
        <v>0</v>
      </c>
      <c r="AN23" s="108"/>
      <c r="AO23" s="114">
        <v>2</v>
      </c>
      <c r="AP23" s="114" t="s">
        <v>30</v>
      </c>
      <c r="AQ23" s="114">
        <v>2</v>
      </c>
      <c r="AR23" s="114">
        <f t="shared" si="9"/>
        <v>15</v>
      </c>
      <c r="AS23" s="115"/>
      <c r="AT23" s="190">
        <v>2</v>
      </c>
      <c r="AU23" s="190" t="s">
        <v>30</v>
      </c>
      <c r="AV23" s="190">
        <v>1</v>
      </c>
      <c r="AW23" s="190">
        <f t="shared" si="10"/>
        <v>0</v>
      </c>
      <c r="AX23" s="115"/>
      <c r="AY23" s="131">
        <v>2</v>
      </c>
      <c r="AZ23" s="131" t="s">
        <v>30</v>
      </c>
      <c r="BA23" s="131">
        <v>1</v>
      </c>
      <c r="BB23" s="131">
        <f t="shared" si="13"/>
        <v>0</v>
      </c>
      <c r="BC23" s="115"/>
      <c r="BD23" s="151">
        <v>2</v>
      </c>
      <c r="BE23" s="151" t="s">
        <v>30</v>
      </c>
      <c r="BF23" s="151">
        <v>0</v>
      </c>
      <c r="BG23" s="150">
        <f t="shared" si="15"/>
        <v>0</v>
      </c>
      <c r="BH23" s="216"/>
      <c r="BI23" s="123">
        <v>1</v>
      </c>
      <c r="BJ23" s="123" t="s">
        <v>30</v>
      </c>
      <c r="BK23" s="123">
        <v>3</v>
      </c>
      <c r="BL23" s="123">
        <v>0</v>
      </c>
      <c r="BM23" s="216"/>
      <c r="BN23" s="237">
        <v>1</v>
      </c>
      <c r="BO23" s="237" t="s">
        <v>30</v>
      </c>
      <c r="BP23" s="237">
        <v>0</v>
      </c>
      <c r="BQ23" s="238">
        <v>0</v>
      </c>
    </row>
    <row r="24" spans="1:69" ht="39.950000000000003" customHeight="1" thickBot="1" x14ac:dyDescent="0.3">
      <c r="A24" s="26" t="s">
        <v>49</v>
      </c>
      <c r="B24" s="187">
        <v>0.72916666666666663</v>
      </c>
      <c r="C24" s="26" t="s">
        <v>24</v>
      </c>
      <c r="D24" s="26" t="s">
        <v>46</v>
      </c>
      <c r="E24" s="245"/>
      <c r="G24" s="107">
        <v>0</v>
      </c>
      <c r="H24" s="107" t="s">
        <v>30</v>
      </c>
      <c r="I24" s="107">
        <v>0</v>
      </c>
      <c r="J24" s="117"/>
      <c r="K24" s="234">
        <v>0</v>
      </c>
      <c r="L24" s="235" t="s">
        <v>30</v>
      </c>
      <c r="M24" s="235">
        <v>2</v>
      </c>
      <c r="N24" s="123">
        <f t="shared" si="11"/>
        <v>0</v>
      </c>
      <c r="O24" s="118"/>
      <c r="P24" s="109">
        <v>1</v>
      </c>
      <c r="Q24" s="109" t="s">
        <v>30</v>
      </c>
      <c r="R24" s="109">
        <v>2</v>
      </c>
      <c r="S24" s="109">
        <f t="shared" si="4"/>
        <v>0</v>
      </c>
      <c r="T24" s="108"/>
      <c r="U24" s="223">
        <v>1</v>
      </c>
      <c r="V24" s="223" t="s">
        <v>30</v>
      </c>
      <c r="W24" s="223">
        <v>2</v>
      </c>
      <c r="X24" s="110">
        <f t="shared" si="5"/>
        <v>0</v>
      </c>
      <c r="Y24" s="108"/>
      <c r="Z24" s="165">
        <v>0</v>
      </c>
      <c r="AA24" s="165" t="s">
        <v>30</v>
      </c>
      <c r="AB24" s="165">
        <v>1</v>
      </c>
      <c r="AC24" s="111">
        <f t="shared" si="6"/>
        <v>0</v>
      </c>
      <c r="AD24" s="108"/>
      <c r="AE24" s="112">
        <v>1</v>
      </c>
      <c r="AF24" s="112" t="s">
        <v>30</v>
      </c>
      <c r="AG24" s="112">
        <v>3</v>
      </c>
      <c r="AH24" s="112">
        <f t="shared" si="7"/>
        <v>0</v>
      </c>
      <c r="AI24" s="108"/>
      <c r="AJ24" s="113">
        <v>1</v>
      </c>
      <c r="AK24" s="113" t="s">
        <v>30</v>
      </c>
      <c r="AL24" s="113">
        <v>1</v>
      </c>
      <c r="AM24" s="113">
        <f t="shared" si="8"/>
        <v>8</v>
      </c>
      <c r="AN24" s="108"/>
      <c r="AO24" s="114">
        <v>1</v>
      </c>
      <c r="AP24" s="114" t="s">
        <v>30</v>
      </c>
      <c r="AQ24" s="114">
        <v>2</v>
      </c>
      <c r="AR24" s="114">
        <f t="shared" si="9"/>
        <v>0</v>
      </c>
      <c r="AS24" s="115"/>
      <c r="AT24" s="88">
        <v>1</v>
      </c>
      <c r="AU24" s="88" t="s">
        <v>30</v>
      </c>
      <c r="AV24" s="88">
        <v>2</v>
      </c>
      <c r="AW24" s="190">
        <f t="shared" si="10"/>
        <v>0</v>
      </c>
      <c r="AX24" s="115"/>
      <c r="AY24" s="131">
        <v>0</v>
      </c>
      <c r="AZ24" s="131" t="s">
        <v>30</v>
      </c>
      <c r="BA24" s="131">
        <v>2</v>
      </c>
      <c r="BB24" s="131">
        <f t="shared" si="13"/>
        <v>0</v>
      </c>
      <c r="BC24" s="115"/>
      <c r="BD24" s="151">
        <v>1</v>
      </c>
      <c r="BE24" s="151" t="s">
        <v>30</v>
      </c>
      <c r="BF24" s="151">
        <v>2</v>
      </c>
      <c r="BG24" s="150">
        <f t="shared" si="15"/>
        <v>0</v>
      </c>
      <c r="BH24" s="216"/>
      <c r="BI24" s="123">
        <v>1</v>
      </c>
      <c r="BJ24" s="123" t="s">
        <v>30</v>
      </c>
      <c r="BK24" s="123">
        <v>2</v>
      </c>
      <c r="BL24" s="123">
        <v>0</v>
      </c>
      <c r="BM24" s="216"/>
      <c r="BN24" s="237">
        <v>0</v>
      </c>
      <c r="BO24" s="237" t="s">
        <v>30</v>
      </c>
      <c r="BP24" s="237">
        <v>0</v>
      </c>
      <c r="BQ24" s="238">
        <v>15</v>
      </c>
    </row>
    <row r="25" spans="1:69" ht="39.950000000000003" customHeight="1" thickBot="1" x14ac:dyDescent="0.3">
      <c r="A25" s="26" t="s">
        <v>49</v>
      </c>
      <c r="B25" s="187">
        <v>0.83333333333333304</v>
      </c>
      <c r="C25" s="26" t="s">
        <v>18</v>
      </c>
      <c r="D25" s="26" t="s">
        <v>19</v>
      </c>
      <c r="E25" s="246"/>
      <c r="G25" s="107">
        <v>0</v>
      </c>
      <c r="H25" s="107" t="s">
        <v>30</v>
      </c>
      <c r="I25" s="107">
        <v>2</v>
      </c>
      <c r="J25" s="117"/>
      <c r="K25" s="234">
        <v>1</v>
      </c>
      <c r="L25" s="235" t="s">
        <v>30</v>
      </c>
      <c r="M25" s="235">
        <v>1</v>
      </c>
      <c r="N25" s="123">
        <f t="shared" si="11"/>
        <v>0</v>
      </c>
      <c r="O25" s="118"/>
      <c r="P25" s="109">
        <v>1</v>
      </c>
      <c r="Q25" s="109" t="s">
        <v>30</v>
      </c>
      <c r="R25" s="109">
        <v>1</v>
      </c>
      <c r="S25" s="109">
        <f t="shared" si="4"/>
        <v>0</v>
      </c>
      <c r="T25" s="108"/>
      <c r="U25" s="223">
        <v>0</v>
      </c>
      <c r="V25" s="223" t="s">
        <v>30</v>
      </c>
      <c r="W25" s="223">
        <v>2</v>
      </c>
      <c r="X25" s="110">
        <f t="shared" si="5"/>
        <v>15</v>
      </c>
      <c r="Y25" s="108"/>
      <c r="Z25" s="165">
        <v>1</v>
      </c>
      <c r="AA25" s="165" t="s">
        <v>30</v>
      </c>
      <c r="AB25" s="165">
        <v>2</v>
      </c>
      <c r="AC25" s="111">
        <f t="shared" si="6"/>
        <v>4</v>
      </c>
      <c r="AD25" s="108"/>
      <c r="AE25" s="112">
        <v>2</v>
      </c>
      <c r="AF25" s="112" t="s">
        <v>30</v>
      </c>
      <c r="AG25" s="112">
        <v>1</v>
      </c>
      <c r="AH25" s="112">
        <f t="shared" si="7"/>
        <v>0</v>
      </c>
      <c r="AI25" s="108"/>
      <c r="AJ25" s="113">
        <v>2</v>
      </c>
      <c r="AK25" s="113" t="s">
        <v>30</v>
      </c>
      <c r="AL25" s="113">
        <v>1</v>
      </c>
      <c r="AM25" s="113">
        <f t="shared" si="8"/>
        <v>0</v>
      </c>
      <c r="AN25" s="108"/>
      <c r="AO25" s="114">
        <v>1</v>
      </c>
      <c r="AP25" s="114" t="s">
        <v>30</v>
      </c>
      <c r="AQ25" s="114">
        <v>2</v>
      </c>
      <c r="AR25" s="114">
        <f t="shared" si="9"/>
        <v>4</v>
      </c>
      <c r="AS25" s="115"/>
      <c r="AT25" s="190">
        <v>1</v>
      </c>
      <c r="AU25" s="190" t="s">
        <v>30</v>
      </c>
      <c r="AV25" s="190">
        <v>2</v>
      </c>
      <c r="AW25" s="190">
        <f t="shared" si="10"/>
        <v>4</v>
      </c>
      <c r="AX25" s="115"/>
      <c r="AY25" s="131">
        <v>1</v>
      </c>
      <c r="AZ25" s="131" t="s">
        <v>30</v>
      </c>
      <c r="BA25" s="131">
        <v>2</v>
      </c>
      <c r="BB25" s="131">
        <f t="shared" si="13"/>
        <v>4</v>
      </c>
      <c r="BC25" s="115"/>
      <c r="BD25" s="151">
        <v>0</v>
      </c>
      <c r="BE25" s="151" t="s">
        <v>30</v>
      </c>
      <c r="BF25" s="151">
        <v>1</v>
      </c>
      <c r="BG25" s="150">
        <f t="shared" si="15"/>
        <v>4</v>
      </c>
      <c r="BH25" s="216"/>
      <c r="BI25" s="123">
        <v>0</v>
      </c>
      <c r="BJ25" s="123" t="s">
        <v>30</v>
      </c>
      <c r="BK25" s="123">
        <v>2</v>
      </c>
      <c r="BL25" s="123">
        <v>15</v>
      </c>
      <c r="BM25" s="216"/>
      <c r="BN25" s="237">
        <v>1</v>
      </c>
      <c r="BO25" s="237" t="s">
        <v>30</v>
      </c>
      <c r="BP25" s="237">
        <v>0</v>
      </c>
      <c r="BQ25" s="238">
        <v>0</v>
      </c>
    </row>
    <row r="26" spans="1:69" s="11" customFormat="1" ht="29.25" thickBot="1" x14ac:dyDescent="0.3">
      <c r="A26"/>
      <c r="B26" s="188"/>
      <c r="C26"/>
      <c r="D26"/>
      <c r="E26"/>
      <c r="F26" s="5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66"/>
      <c r="V26" s="166"/>
      <c r="W26" s="166"/>
      <c r="X26" s="116"/>
      <c r="Y26" s="116"/>
      <c r="Z26" s="166"/>
      <c r="AA26" s="166"/>
      <c r="AB26" s="16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218"/>
      <c r="BI26" s="218"/>
      <c r="BJ26" s="218"/>
      <c r="BK26" s="218"/>
      <c r="BL26" s="218"/>
      <c r="BM26" s="218"/>
      <c r="BN26" s="218"/>
      <c r="BO26" s="218"/>
      <c r="BP26" s="218"/>
      <c r="BQ26" s="218"/>
    </row>
    <row r="27" spans="1:69" ht="39.950000000000003" customHeight="1" thickBot="1" x14ac:dyDescent="0.3">
      <c r="A27" s="26" t="s">
        <v>57</v>
      </c>
      <c r="B27" s="187">
        <v>0.79166666666666663</v>
      </c>
      <c r="C27" s="26" t="s">
        <v>37</v>
      </c>
      <c r="D27" s="26" t="s">
        <v>16</v>
      </c>
      <c r="E27" s="244" t="s">
        <v>54</v>
      </c>
      <c r="F27" s="16"/>
      <c r="G27" s="107">
        <v>0</v>
      </c>
      <c r="H27" s="107" t="s">
        <v>30</v>
      </c>
      <c r="I27" s="107">
        <v>1</v>
      </c>
      <c r="J27" s="117"/>
      <c r="K27" s="240">
        <v>1</v>
      </c>
      <c r="L27" s="241" t="s">
        <v>30</v>
      </c>
      <c r="M27" s="241">
        <v>1</v>
      </c>
      <c r="N27" s="123">
        <f t="shared" ref="N27:N34" si="17">IF(OR(G27="", I27="", K27="", M27=""), "", IF(AND(G27=K27, I27=M27), $F$3, IF(G27-I27=K27-M27, $F$4, IF(AND(G27=I27, K27=M27),$F$6, IF(SIGN(G27-I27)=SIGN(K27-M27), $F$5, 0)))))</f>
        <v>0</v>
      </c>
      <c r="O27" s="118"/>
      <c r="P27" s="109">
        <v>2</v>
      </c>
      <c r="Q27" s="109" t="s">
        <v>30</v>
      </c>
      <c r="R27" s="109">
        <v>1</v>
      </c>
      <c r="S27" s="109">
        <f t="shared" ref="S27:S34" si="18">IF(OR(G27="", I27="", P27="", R27=""), "", IF(AND(G27=P27, I27=R27), $F$3, IF(G27-I27=P27-R27, $F$4, IF(AND(G27=I27, P27=R27),$F$6, IF(SIGN(G27-I27)=SIGN(P27-R27), $F$5, 0)))))</f>
        <v>0</v>
      </c>
      <c r="T27" s="108"/>
      <c r="U27" s="223">
        <v>2</v>
      </c>
      <c r="V27" s="223" t="s">
        <v>30</v>
      </c>
      <c r="W27" s="223">
        <v>1</v>
      </c>
      <c r="X27" s="110">
        <f t="shared" ref="X27:X34" si="19">IF(OR(G27="", I27="", U27="", W27=""), "", IF(AND(G27=U27, I27=W27), $F$3, IF(G27-I27=U27-W27, $F$4, IF(AND(G27=I27, U27=W27),$F$6, IF(SIGN(G27-I27)=SIGN(U27-W27), $F$5, 0)))))</f>
        <v>0</v>
      </c>
      <c r="Y27" s="108"/>
      <c r="Z27" s="165">
        <v>2</v>
      </c>
      <c r="AA27" s="165" t="s">
        <v>30</v>
      </c>
      <c r="AB27" s="165">
        <v>1</v>
      </c>
      <c r="AC27" s="111">
        <f t="shared" ref="AC27:AC34" si="20">IF(OR(G27="", I27="", Z27="", AB27=""), "", IF(AND(G27=Z27, I27=AB27), $F$3, IF(G27-I27=Z27-AB27, $F$4, IF(AND(G27=I27, Z27=AB27),$F$6, IF(SIGN(G27-I27)=SIGN(Z27-AB27), $F$5, 0)))))</f>
        <v>0</v>
      </c>
      <c r="AD27" s="108"/>
      <c r="AE27" s="112">
        <v>2</v>
      </c>
      <c r="AF27" s="112" t="s">
        <v>30</v>
      </c>
      <c r="AG27" s="112">
        <v>1</v>
      </c>
      <c r="AH27" s="112">
        <f t="shared" ref="AH27:AH34" si="21">IF(OR(G27="", I27="", AE27="", AG27=""), "", IF(AND(G27=AE27, I27=AG27), $F$3, IF(G27-I27=AE27-AG27, $F$4, IF(AND(G27=I27, AE27=AG27),$F$6, IF(SIGN(G27-I27)=SIGN(AE27-AG27), $F$5, 0)))))</f>
        <v>0</v>
      </c>
      <c r="AI27" s="108"/>
      <c r="AJ27" s="113">
        <v>1</v>
      </c>
      <c r="AK27" s="113" t="s">
        <v>30</v>
      </c>
      <c r="AL27" s="113">
        <v>1</v>
      </c>
      <c r="AM27" s="113">
        <f t="shared" ref="AM27:AM32" si="22">IF(OR(G27="", I27="", AJ27="", AL27=""), "", IF(AND(G27=AJ27, I27=AL27), $F$3, IF(G27-I27=AJ27-AL27, $F$4, IF(AND(G27=I27, AJ27=AL27),$F$6, IF(SIGN(G27-I27)=SIGN(AJ27-AL27), $F$5, 0)))))</f>
        <v>0</v>
      </c>
      <c r="AN27" s="108"/>
      <c r="AO27" s="114">
        <v>1</v>
      </c>
      <c r="AP27" s="114" t="s">
        <v>30</v>
      </c>
      <c r="AQ27" s="114">
        <v>1</v>
      </c>
      <c r="AR27" s="114">
        <f t="shared" ref="AR27:AR34" si="23">IF(OR(G27="", I27="", AO27="", AQ27=""), "", IF(AND(G27=AO27, I27=AQ27), $F$3, IF(G27-I27=AO27-AQ27, $F$4, IF(AND(G27=I27, AO27=AQ27),$F$6, IF(SIGN(G27-I27)=SIGN(AO27-AQ27), $F$5, 0)))))</f>
        <v>0</v>
      </c>
      <c r="AS27" s="115"/>
      <c r="AT27" s="190">
        <v>1</v>
      </c>
      <c r="AU27" s="190" t="s">
        <v>30</v>
      </c>
      <c r="AV27" s="190">
        <v>1</v>
      </c>
      <c r="AW27" s="190">
        <f t="shared" ref="AW27:AW34" si="24">IF(OR(G27="", I27="", AT27="", AV27=""), "", IF(AND(G27=AT27, I27=AV27), $F$3, IF(G27-I27=AT27-AV27, $F$4, IF(AND(G27=I27, AT27=AV27),$F$6, IF(SIGN(G27-I27)=SIGN(AT27-AV27), $F$5, 0)))))</f>
        <v>0</v>
      </c>
      <c r="AX27" s="115"/>
      <c r="AY27" s="131">
        <v>2</v>
      </c>
      <c r="AZ27" s="131" t="s">
        <v>30</v>
      </c>
      <c r="BA27" s="131">
        <v>3</v>
      </c>
      <c r="BB27" s="131">
        <v>6</v>
      </c>
      <c r="BC27" s="115"/>
      <c r="BD27" s="151">
        <v>2</v>
      </c>
      <c r="BE27" s="151" t="s">
        <v>30</v>
      </c>
      <c r="BF27" s="151">
        <v>1</v>
      </c>
      <c r="BG27" s="150">
        <f t="shared" ref="BG27:BG34" si="25">IF(OR(G27="", I27="", BD27="", BF27=""), "", IF(AND(G27=BD27, I27=BF27), $F$3, IF(G27-I27=BD27-BF27, $F$4, IF(AND(G27=I27, BD27=BF27),$F$6, IF(SIGN(G27-I27)=SIGN(BD27-BF27), $F$5, 0)))))</f>
        <v>0</v>
      </c>
      <c r="BH27" s="216"/>
      <c r="BI27" s="123">
        <v>1</v>
      </c>
      <c r="BJ27" s="123" t="s">
        <v>30</v>
      </c>
      <c r="BK27" s="123">
        <v>1</v>
      </c>
      <c r="BL27" s="123">
        <v>0</v>
      </c>
      <c r="BM27" s="216"/>
      <c r="BN27" s="239">
        <v>2</v>
      </c>
      <c r="BO27" s="239" t="s">
        <v>30</v>
      </c>
      <c r="BP27" s="239">
        <v>1</v>
      </c>
      <c r="BQ27" s="239">
        <v>0</v>
      </c>
    </row>
    <row r="28" spans="1:69" ht="39.950000000000003" customHeight="1" thickBot="1" x14ac:dyDescent="0.3">
      <c r="A28" s="26" t="s">
        <v>58</v>
      </c>
      <c r="B28" s="187">
        <v>0.70833333333333337</v>
      </c>
      <c r="C28" s="26" t="s">
        <v>21</v>
      </c>
      <c r="D28" s="26" t="s">
        <v>15</v>
      </c>
      <c r="E28" s="245"/>
      <c r="G28" s="107">
        <v>5</v>
      </c>
      <c r="H28" s="107" t="s">
        <v>30</v>
      </c>
      <c r="I28" s="107">
        <v>5</v>
      </c>
      <c r="J28" s="117"/>
      <c r="K28" s="234">
        <v>0</v>
      </c>
      <c r="L28" s="235" t="s">
        <v>30</v>
      </c>
      <c r="M28" s="235">
        <v>2</v>
      </c>
      <c r="N28" s="123">
        <f t="shared" si="17"/>
        <v>0</v>
      </c>
      <c r="O28" s="118"/>
      <c r="P28" s="109">
        <v>1</v>
      </c>
      <c r="Q28" s="109" t="s">
        <v>30</v>
      </c>
      <c r="R28" s="109">
        <v>1</v>
      </c>
      <c r="S28" s="109">
        <f t="shared" si="18"/>
        <v>8</v>
      </c>
      <c r="T28" s="108"/>
      <c r="U28" s="223">
        <v>0</v>
      </c>
      <c r="V28" s="223" t="s">
        <v>30</v>
      </c>
      <c r="W28" s="223">
        <v>1</v>
      </c>
      <c r="X28" s="110">
        <f t="shared" si="19"/>
        <v>0</v>
      </c>
      <c r="Y28" s="108"/>
      <c r="Z28" s="165">
        <v>1</v>
      </c>
      <c r="AA28" s="165" t="s">
        <v>30</v>
      </c>
      <c r="AB28" s="165">
        <v>3</v>
      </c>
      <c r="AC28" s="111">
        <f t="shared" si="20"/>
        <v>0</v>
      </c>
      <c r="AD28" s="108"/>
      <c r="AE28" s="112">
        <v>1</v>
      </c>
      <c r="AF28" s="112" t="s">
        <v>30</v>
      </c>
      <c r="AG28" s="112">
        <v>2</v>
      </c>
      <c r="AH28" s="112">
        <f t="shared" si="21"/>
        <v>0</v>
      </c>
      <c r="AI28" s="108"/>
      <c r="AJ28" s="113">
        <v>1</v>
      </c>
      <c r="AK28" s="113" t="s">
        <v>30</v>
      </c>
      <c r="AL28" s="113">
        <v>3</v>
      </c>
      <c r="AM28" s="113">
        <f t="shared" si="22"/>
        <v>0</v>
      </c>
      <c r="AN28" s="108"/>
      <c r="AO28" s="114">
        <v>2</v>
      </c>
      <c r="AP28" s="114" t="s">
        <v>30</v>
      </c>
      <c r="AQ28" s="114">
        <v>1</v>
      </c>
      <c r="AR28" s="114">
        <f t="shared" si="23"/>
        <v>0</v>
      </c>
      <c r="AS28" s="115"/>
      <c r="AT28" s="190">
        <v>1</v>
      </c>
      <c r="AU28" s="190" t="s">
        <v>30</v>
      </c>
      <c r="AV28" s="190">
        <v>1</v>
      </c>
      <c r="AW28" s="109">
        <v>8</v>
      </c>
      <c r="AX28" s="115"/>
      <c r="AY28" s="131">
        <v>1</v>
      </c>
      <c r="AZ28" s="131" t="s">
        <v>30</v>
      </c>
      <c r="BA28" s="131">
        <v>2</v>
      </c>
      <c r="BB28" s="131">
        <f t="shared" ref="BB28:BB34" si="26">IF(OR(G28="", I28="", AY28="", BA28=""), "", IF(AND(G28=AY28, I28=BA28), $F$3, IF(G28-I28=AY28-BA28, $F$4, IF(AND(G28=I28, AY28=BA28),$F$6, IF(SIGN(G28-I28)=SIGN(AY28-BA28), $F$5, 0)))))</f>
        <v>0</v>
      </c>
      <c r="BC28" s="115"/>
      <c r="BD28" s="151">
        <v>1</v>
      </c>
      <c r="BE28" s="151" t="s">
        <v>30</v>
      </c>
      <c r="BF28" s="151">
        <v>2</v>
      </c>
      <c r="BG28" s="150">
        <f t="shared" si="25"/>
        <v>0</v>
      </c>
      <c r="BH28" s="216"/>
      <c r="BI28" s="123">
        <v>1</v>
      </c>
      <c r="BJ28" s="123" t="s">
        <v>30</v>
      </c>
      <c r="BK28" s="123">
        <v>2</v>
      </c>
      <c r="BL28" s="123">
        <v>0</v>
      </c>
      <c r="BM28" s="216"/>
      <c r="BN28" s="239">
        <v>0</v>
      </c>
      <c r="BO28" s="239" t="s">
        <v>30</v>
      </c>
      <c r="BP28" s="239">
        <v>2</v>
      </c>
      <c r="BQ28" s="239">
        <v>0</v>
      </c>
    </row>
    <row r="29" spans="1:69" ht="39.950000000000003" customHeight="1" thickBot="1" x14ac:dyDescent="0.3">
      <c r="A29" s="26" t="s">
        <v>58</v>
      </c>
      <c r="B29" s="187">
        <v>0.70833333333333337</v>
      </c>
      <c r="C29" s="26" t="s">
        <v>29</v>
      </c>
      <c r="D29" s="26" t="s">
        <v>24</v>
      </c>
      <c r="E29" s="245"/>
      <c r="G29" s="107">
        <v>0</v>
      </c>
      <c r="H29" s="107" t="s">
        <v>30</v>
      </c>
      <c r="I29" s="107">
        <v>2</v>
      </c>
      <c r="J29" s="117"/>
      <c r="K29" s="242">
        <v>1</v>
      </c>
      <c r="L29" s="243" t="s">
        <v>30</v>
      </c>
      <c r="M29" s="243">
        <v>1</v>
      </c>
      <c r="N29" s="123">
        <f t="shared" si="17"/>
        <v>0</v>
      </c>
      <c r="O29" s="118"/>
      <c r="P29" s="109">
        <v>1</v>
      </c>
      <c r="Q29" s="109" t="s">
        <v>30</v>
      </c>
      <c r="R29" s="109">
        <v>1</v>
      </c>
      <c r="S29" s="109">
        <f t="shared" si="18"/>
        <v>0</v>
      </c>
      <c r="T29" s="108"/>
      <c r="U29" s="223">
        <v>1</v>
      </c>
      <c r="V29" s="223" t="s">
        <v>30</v>
      </c>
      <c r="W29" s="223">
        <v>1</v>
      </c>
      <c r="X29" s="110">
        <f t="shared" si="19"/>
        <v>0</v>
      </c>
      <c r="Y29" s="108"/>
      <c r="Z29" s="165">
        <v>1</v>
      </c>
      <c r="AA29" s="165" t="s">
        <v>30</v>
      </c>
      <c r="AB29" s="165">
        <v>1</v>
      </c>
      <c r="AC29" s="111">
        <f t="shared" si="20"/>
        <v>0</v>
      </c>
      <c r="AD29" s="108"/>
      <c r="AE29" s="112">
        <v>2</v>
      </c>
      <c r="AF29" s="112" t="s">
        <v>30</v>
      </c>
      <c r="AG29" s="112">
        <v>1</v>
      </c>
      <c r="AH29" s="112">
        <f t="shared" si="21"/>
        <v>0</v>
      </c>
      <c r="AI29" s="108"/>
      <c r="AJ29" s="113">
        <v>1</v>
      </c>
      <c r="AK29" s="113" t="s">
        <v>30</v>
      </c>
      <c r="AL29" s="113">
        <v>0</v>
      </c>
      <c r="AM29" s="113">
        <f t="shared" si="22"/>
        <v>0</v>
      </c>
      <c r="AN29" s="108"/>
      <c r="AO29" s="114">
        <v>0</v>
      </c>
      <c r="AP29" s="114" t="s">
        <v>30</v>
      </c>
      <c r="AQ29" s="114">
        <v>1</v>
      </c>
      <c r="AR29" s="114">
        <f t="shared" si="23"/>
        <v>4</v>
      </c>
      <c r="AS29" s="115"/>
      <c r="AT29" s="190">
        <v>1</v>
      </c>
      <c r="AU29" s="190" t="s">
        <v>30</v>
      </c>
      <c r="AV29" s="190">
        <v>1</v>
      </c>
      <c r="AW29" s="190">
        <f t="shared" si="24"/>
        <v>0</v>
      </c>
      <c r="AX29" s="115"/>
      <c r="AY29" s="131">
        <v>0</v>
      </c>
      <c r="AZ29" s="131" t="s">
        <v>30</v>
      </c>
      <c r="BA29" s="131">
        <v>1</v>
      </c>
      <c r="BB29" s="131">
        <f t="shared" si="26"/>
        <v>4</v>
      </c>
      <c r="BC29" s="115"/>
      <c r="BD29" s="151">
        <v>1</v>
      </c>
      <c r="BE29" s="151" t="s">
        <v>30</v>
      </c>
      <c r="BF29" s="151">
        <v>1</v>
      </c>
      <c r="BG29" s="150">
        <f t="shared" si="25"/>
        <v>0</v>
      </c>
      <c r="BH29" s="216"/>
      <c r="BI29" s="123">
        <v>1</v>
      </c>
      <c r="BJ29" s="123" t="s">
        <v>30</v>
      </c>
      <c r="BK29" s="123">
        <v>2</v>
      </c>
      <c r="BL29" s="123">
        <v>4</v>
      </c>
      <c r="BM29" s="216"/>
      <c r="BN29" s="239">
        <v>1</v>
      </c>
      <c r="BO29" s="239" t="s">
        <v>30</v>
      </c>
      <c r="BP29" s="239">
        <v>1</v>
      </c>
      <c r="BQ29" s="239">
        <v>0</v>
      </c>
    </row>
    <row r="30" spans="1:69" ht="39.950000000000003" customHeight="1" thickBot="1" x14ac:dyDescent="0.3">
      <c r="A30" s="26" t="s">
        <v>58</v>
      </c>
      <c r="B30" s="187">
        <v>0.83333333333333337</v>
      </c>
      <c r="C30" s="26" t="s">
        <v>45</v>
      </c>
      <c r="D30" s="26" t="s">
        <v>23</v>
      </c>
      <c r="E30" s="245"/>
      <c r="G30" s="107">
        <v>2</v>
      </c>
      <c r="H30" s="107" t="s">
        <v>30</v>
      </c>
      <c r="I30" s="107">
        <v>0</v>
      </c>
      <c r="J30" s="117"/>
      <c r="K30" s="234">
        <v>1</v>
      </c>
      <c r="L30" s="235" t="s">
        <v>30</v>
      </c>
      <c r="M30" s="235">
        <v>3</v>
      </c>
      <c r="N30" s="123">
        <f t="shared" si="17"/>
        <v>0</v>
      </c>
      <c r="O30" s="118"/>
      <c r="P30" s="109">
        <v>2</v>
      </c>
      <c r="Q30" s="109" t="s">
        <v>30</v>
      </c>
      <c r="R30" s="109">
        <v>4</v>
      </c>
      <c r="S30" s="109">
        <f t="shared" si="18"/>
        <v>0</v>
      </c>
      <c r="T30" s="108"/>
      <c r="U30" s="223">
        <v>2</v>
      </c>
      <c r="V30" s="223" t="s">
        <v>30</v>
      </c>
      <c r="W30" s="223">
        <v>3</v>
      </c>
      <c r="X30" s="110">
        <f t="shared" si="19"/>
        <v>0</v>
      </c>
      <c r="Y30" s="108"/>
      <c r="Z30" s="165">
        <v>1</v>
      </c>
      <c r="AA30" s="165" t="s">
        <v>30</v>
      </c>
      <c r="AB30" s="165">
        <v>3</v>
      </c>
      <c r="AC30" s="111">
        <f t="shared" si="20"/>
        <v>0</v>
      </c>
      <c r="AD30" s="108"/>
      <c r="AE30" s="88">
        <v>1</v>
      </c>
      <c r="AF30" s="88" t="s">
        <v>30</v>
      </c>
      <c r="AG30" s="88">
        <v>2</v>
      </c>
      <c r="AH30" s="112">
        <f t="shared" si="21"/>
        <v>0</v>
      </c>
      <c r="AI30" s="108"/>
      <c r="AJ30" s="113">
        <v>1</v>
      </c>
      <c r="AK30" s="113" t="s">
        <v>30</v>
      </c>
      <c r="AL30" s="113">
        <v>3</v>
      </c>
      <c r="AM30" s="113">
        <f t="shared" si="22"/>
        <v>0</v>
      </c>
      <c r="AN30" s="108"/>
      <c r="AO30" s="114">
        <v>2</v>
      </c>
      <c r="AP30" s="114" t="s">
        <v>30</v>
      </c>
      <c r="AQ30" s="114">
        <v>3</v>
      </c>
      <c r="AR30" s="114">
        <f t="shared" si="23"/>
        <v>0</v>
      </c>
      <c r="AS30" s="115"/>
      <c r="AT30" s="190">
        <v>1</v>
      </c>
      <c r="AU30" s="190" t="s">
        <v>30</v>
      </c>
      <c r="AV30" s="190">
        <v>2</v>
      </c>
      <c r="AW30" s="190">
        <f t="shared" si="24"/>
        <v>0</v>
      </c>
      <c r="AX30" s="115"/>
      <c r="AY30" s="131">
        <v>1</v>
      </c>
      <c r="AZ30" s="131" t="s">
        <v>30</v>
      </c>
      <c r="BA30" s="131">
        <v>2</v>
      </c>
      <c r="BB30" s="131">
        <f t="shared" si="26"/>
        <v>0</v>
      </c>
      <c r="BC30" s="115"/>
      <c r="BD30" s="151">
        <v>0</v>
      </c>
      <c r="BE30" s="151" t="s">
        <v>30</v>
      </c>
      <c r="BF30" s="151">
        <v>2</v>
      </c>
      <c r="BG30" s="150">
        <f t="shared" si="25"/>
        <v>0</v>
      </c>
      <c r="BH30" s="216"/>
      <c r="BI30" s="123">
        <v>0</v>
      </c>
      <c r="BJ30" s="123" t="s">
        <v>30</v>
      </c>
      <c r="BK30" s="123">
        <v>2</v>
      </c>
      <c r="BL30" s="123">
        <v>0</v>
      </c>
      <c r="BM30" s="216"/>
      <c r="BN30" s="88">
        <v>0</v>
      </c>
      <c r="BO30" s="88" t="s">
        <v>30</v>
      </c>
      <c r="BP30" s="88">
        <v>2</v>
      </c>
      <c r="BQ30" s="239">
        <v>0</v>
      </c>
    </row>
    <row r="31" spans="1:69" s="3" customFormat="1" ht="39.950000000000003" customHeight="1" thickBot="1" x14ac:dyDescent="0.3">
      <c r="A31" s="26" t="s">
        <v>59</v>
      </c>
      <c r="B31" s="187">
        <v>0.625</v>
      </c>
      <c r="C31" s="26" t="s">
        <v>22</v>
      </c>
      <c r="D31" s="26" t="s">
        <v>18</v>
      </c>
      <c r="E31" s="245"/>
      <c r="F31" s="6"/>
      <c r="G31" s="107">
        <v>2</v>
      </c>
      <c r="H31" s="107" t="s">
        <v>30</v>
      </c>
      <c r="I31" s="107">
        <v>1</v>
      </c>
      <c r="J31" s="117"/>
      <c r="K31" s="234">
        <v>4</v>
      </c>
      <c r="L31" s="235" t="s">
        <v>30</v>
      </c>
      <c r="M31" s="235">
        <v>0</v>
      </c>
      <c r="N31" s="123">
        <f t="shared" si="17"/>
        <v>4</v>
      </c>
      <c r="O31" s="118"/>
      <c r="P31" s="88">
        <v>4</v>
      </c>
      <c r="Q31" s="88" t="s">
        <v>30</v>
      </c>
      <c r="R31" s="88">
        <v>0</v>
      </c>
      <c r="S31" s="109">
        <v>8</v>
      </c>
      <c r="T31" s="108"/>
      <c r="U31" s="223">
        <v>4</v>
      </c>
      <c r="V31" s="223" t="s">
        <v>30</v>
      </c>
      <c r="W31" s="223">
        <v>0</v>
      </c>
      <c r="X31" s="110">
        <f t="shared" si="19"/>
        <v>4</v>
      </c>
      <c r="Y31" s="108"/>
      <c r="Z31" s="88">
        <v>4</v>
      </c>
      <c r="AA31" s="88" t="s">
        <v>30</v>
      </c>
      <c r="AB31" s="88">
        <v>1</v>
      </c>
      <c r="AC31" s="111">
        <v>8</v>
      </c>
      <c r="AD31" s="108"/>
      <c r="AE31" s="112">
        <v>3</v>
      </c>
      <c r="AF31" s="112" t="s">
        <v>30</v>
      </c>
      <c r="AG31" s="112">
        <v>1</v>
      </c>
      <c r="AH31" s="112">
        <f t="shared" si="21"/>
        <v>4</v>
      </c>
      <c r="AI31" s="108"/>
      <c r="AJ31" s="113">
        <v>3</v>
      </c>
      <c r="AK31" s="113" t="s">
        <v>30</v>
      </c>
      <c r="AL31" s="113">
        <v>0</v>
      </c>
      <c r="AM31" s="113">
        <f t="shared" si="22"/>
        <v>4</v>
      </c>
      <c r="AN31" s="108"/>
      <c r="AO31" s="88">
        <v>4</v>
      </c>
      <c r="AP31" s="88" t="s">
        <v>30</v>
      </c>
      <c r="AQ31" s="88">
        <v>0</v>
      </c>
      <c r="AR31" s="114">
        <v>8</v>
      </c>
      <c r="AS31" s="115"/>
      <c r="AT31" s="88">
        <v>3</v>
      </c>
      <c r="AU31" s="88" t="s">
        <v>30</v>
      </c>
      <c r="AV31" s="88">
        <v>0</v>
      </c>
      <c r="AW31" s="190">
        <v>8</v>
      </c>
      <c r="AX31" s="115"/>
      <c r="AY31" s="197">
        <v>3</v>
      </c>
      <c r="AZ31" s="197" t="s">
        <v>30</v>
      </c>
      <c r="BA31" s="197">
        <v>1</v>
      </c>
      <c r="BB31" s="131">
        <v>8</v>
      </c>
      <c r="BC31" s="115"/>
      <c r="BD31" s="88">
        <v>3</v>
      </c>
      <c r="BE31" s="88" t="s">
        <v>30</v>
      </c>
      <c r="BF31" s="88">
        <v>1</v>
      </c>
      <c r="BG31" s="150">
        <v>8</v>
      </c>
      <c r="BH31" s="216"/>
      <c r="BI31" s="88">
        <v>3</v>
      </c>
      <c r="BJ31" s="88" t="s">
        <v>30</v>
      </c>
      <c r="BK31" s="88">
        <v>1</v>
      </c>
      <c r="BL31" s="123">
        <v>8</v>
      </c>
      <c r="BM31" s="216"/>
      <c r="BN31" s="239">
        <v>2</v>
      </c>
      <c r="BO31" s="239" t="s">
        <v>30</v>
      </c>
      <c r="BP31" s="239">
        <v>0</v>
      </c>
      <c r="BQ31" s="239">
        <v>4</v>
      </c>
    </row>
    <row r="32" spans="1:69" ht="39.950000000000003" customHeight="1" thickBot="1" x14ac:dyDescent="0.3">
      <c r="A32" s="26" t="s">
        <v>59</v>
      </c>
      <c r="B32" s="187">
        <v>0.70833333333333337</v>
      </c>
      <c r="C32" s="26" t="s">
        <v>46</v>
      </c>
      <c r="D32" s="26" t="s">
        <v>44</v>
      </c>
      <c r="E32" s="245"/>
      <c r="G32" s="107">
        <v>2</v>
      </c>
      <c r="H32" s="107" t="s">
        <v>30</v>
      </c>
      <c r="I32" s="107">
        <v>1</v>
      </c>
      <c r="J32" s="117"/>
      <c r="K32" s="234">
        <v>1</v>
      </c>
      <c r="L32" s="235" t="s">
        <v>30</v>
      </c>
      <c r="M32" s="235">
        <v>1</v>
      </c>
      <c r="N32" s="123">
        <f t="shared" si="17"/>
        <v>0</v>
      </c>
      <c r="O32" s="118"/>
      <c r="P32" s="109">
        <v>2</v>
      </c>
      <c r="Q32" s="109" t="s">
        <v>30</v>
      </c>
      <c r="R32" s="109">
        <v>0</v>
      </c>
      <c r="S32" s="109">
        <f t="shared" si="18"/>
        <v>4</v>
      </c>
      <c r="T32" s="108"/>
      <c r="U32" s="88">
        <v>1</v>
      </c>
      <c r="V32" s="88" t="s">
        <v>30</v>
      </c>
      <c r="W32" s="88">
        <v>0</v>
      </c>
      <c r="X32" s="110">
        <v>12</v>
      </c>
      <c r="Y32" s="108"/>
      <c r="Z32" s="165">
        <v>2</v>
      </c>
      <c r="AA32" s="165" t="s">
        <v>30</v>
      </c>
      <c r="AB32" s="165">
        <v>1</v>
      </c>
      <c r="AC32" s="111">
        <f t="shared" si="20"/>
        <v>15</v>
      </c>
      <c r="AD32" s="108"/>
      <c r="AE32" s="112">
        <v>2</v>
      </c>
      <c r="AF32" s="112" t="s">
        <v>30</v>
      </c>
      <c r="AG32" s="112">
        <v>1</v>
      </c>
      <c r="AH32" s="112">
        <f t="shared" si="21"/>
        <v>15</v>
      </c>
      <c r="AI32" s="108"/>
      <c r="AJ32" s="113">
        <v>2</v>
      </c>
      <c r="AK32" s="113" t="s">
        <v>30</v>
      </c>
      <c r="AL32" s="113">
        <v>1</v>
      </c>
      <c r="AM32" s="113">
        <f t="shared" si="22"/>
        <v>15</v>
      </c>
      <c r="AN32" s="108"/>
      <c r="AO32" s="114">
        <v>2</v>
      </c>
      <c r="AP32" s="114" t="s">
        <v>30</v>
      </c>
      <c r="AQ32" s="114">
        <v>1</v>
      </c>
      <c r="AR32" s="114">
        <f t="shared" si="23"/>
        <v>15</v>
      </c>
      <c r="AS32" s="115"/>
      <c r="AT32" s="190">
        <v>1</v>
      </c>
      <c r="AU32" s="190" t="s">
        <v>30</v>
      </c>
      <c r="AV32" s="190">
        <v>1</v>
      </c>
      <c r="AW32" s="190">
        <f t="shared" si="24"/>
        <v>0</v>
      </c>
      <c r="AX32" s="115"/>
      <c r="AY32" s="131">
        <v>2</v>
      </c>
      <c r="AZ32" s="131" t="s">
        <v>30</v>
      </c>
      <c r="BA32" s="131">
        <v>1</v>
      </c>
      <c r="BB32" s="131">
        <f t="shared" si="26"/>
        <v>15</v>
      </c>
      <c r="BC32" s="115"/>
      <c r="BD32" s="151">
        <v>2</v>
      </c>
      <c r="BE32" s="151" t="s">
        <v>30</v>
      </c>
      <c r="BF32" s="151">
        <v>0</v>
      </c>
      <c r="BG32" s="150">
        <f t="shared" si="25"/>
        <v>4</v>
      </c>
      <c r="BH32" s="216"/>
      <c r="BI32" s="123">
        <v>2</v>
      </c>
      <c r="BJ32" s="123" t="s">
        <v>30</v>
      </c>
      <c r="BK32" s="123">
        <v>0</v>
      </c>
      <c r="BL32" s="123">
        <v>4</v>
      </c>
      <c r="BM32" s="216"/>
      <c r="BN32" s="239">
        <v>1</v>
      </c>
      <c r="BO32" s="239" t="s">
        <v>30</v>
      </c>
      <c r="BP32" s="239">
        <v>1</v>
      </c>
      <c r="BQ32" s="239">
        <v>0</v>
      </c>
    </row>
    <row r="33" spans="1:69" ht="39.950000000000003" customHeight="1" thickBot="1" x14ac:dyDescent="0.3">
      <c r="A33" s="26" t="s">
        <v>59</v>
      </c>
      <c r="B33" s="187">
        <v>0.70833333333333337</v>
      </c>
      <c r="C33" s="26" t="s">
        <v>19</v>
      </c>
      <c r="D33" s="26" t="s">
        <v>20</v>
      </c>
      <c r="E33" s="245"/>
      <c r="G33" s="107">
        <v>1</v>
      </c>
      <c r="H33" s="107" t="s">
        <v>30</v>
      </c>
      <c r="I33" s="107">
        <v>0</v>
      </c>
      <c r="J33" s="117"/>
      <c r="K33" s="234">
        <v>1</v>
      </c>
      <c r="L33" s="235" t="s">
        <v>30</v>
      </c>
      <c r="M33" s="235">
        <v>1</v>
      </c>
      <c r="N33" s="123">
        <f t="shared" si="17"/>
        <v>0</v>
      </c>
      <c r="O33" s="118"/>
      <c r="P33" s="109">
        <v>2</v>
      </c>
      <c r="Q33" s="109" t="s">
        <v>30</v>
      </c>
      <c r="R33" s="109">
        <v>1</v>
      </c>
      <c r="S33" s="109">
        <v>6</v>
      </c>
      <c r="T33" s="108"/>
      <c r="U33" s="223">
        <v>2</v>
      </c>
      <c r="V33" s="223" t="s">
        <v>30</v>
      </c>
      <c r="W33" s="223">
        <v>1</v>
      </c>
      <c r="X33" s="110">
        <v>6</v>
      </c>
      <c r="Y33" s="108"/>
      <c r="Z33" s="165">
        <v>1</v>
      </c>
      <c r="AA33" s="165" t="s">
        <v>30</v>
      </c>
      <c r="AB33" s="165">
        <v>0</v>
      </c>
      <c r="AC33" s="111">
        <f t="shared" si="20"/>
        <v>15</v>
      </c>
      <c r="AD33" s="108"/>
      <c r="AE33" s="112">
        <v>1</v>
      </c>
      <c r="AF33" s="112" t="s">
        <v>30</v>
      </c>
      <c r="AG33" s="112">
        <v>1</v>
      </c>
      <c r="AH33" s="112">
        <f t="shared" si="21"/>
        <v>0</v>
      </c>
      <c r="AI33" s="108"/>
      <c r="AJ33" s="113">
        <v>2</v>
      </c>
      <c r="AK33" s="113" t="s">
        <v>30</v>
      </c>
      <c r="AL33" s="113">
        <v>1</v>
      </c>
      <c r="AM33" s="113">
        <v>6</v>
      </c>
      <c r="AN33" s="108"/>
      <c r="AO33" s="114">
        <v>2</v>
      </c>
      <c r="AP33" s="114" t="s">
        <v>30</v>
      </c>
      <c r="AQ33" s="114">
        <v>1</v>
      </c>
      <c r="AR33" s="114">
        <v>6</v>
      </c>
      <c r="AS33" s="115"/>
      <c r="AT33" s="190">
        <v>2</v>
      </c>
      <c r="AU33" s="190" t="s">
        <v>30</v>
      </c>
      <c r="AV33" s="190">
        <v>0</v>
      </c>
      <c r="AW33" s="190">
        <f t="shared" si="24"/>
        <v>4</v>
      </c>
      <c r="AX33" s="115"/>
      <c r="AY33" s="131">
        <v>3</v>
      </c>
      <c r="AZ33" s="131" t="s">
        <v>30</v>
      </c>
      <c r="BA33" s="131">
        <v>0</v>
      </c>
      <c r="BB33" s="131">
        <f t="shared" si="26"/>
        <v>4</v>
      </c>
      <c r="BC33" s="115"/>
      <c r="BD33" s="151">
        <v>3</v>
      </c>
      <c r="BE33" s="151" t="s">
        <v>30</v>
      </c>
      <c r="BF33" s="151">
        <v>1</v>
      </c>
      <c r="BG33" s="150">
        <f t="shared" si="25"/>
        <v>4</v>
      </c>
      <c r="BH33" s="216"/>
      <c r="BI33" s="123">
        <v>2</v>
      </c>
      <c r="BJ33" s="123" t="s">
        <v>30</v>
      </c>
      <c r="BK33" s="123">
        <v>1</v>
      </c>
      <c r="BL33" s="123">
        <v>6</v>
      </c>
      <c r="BM33" s="216"/>
      <c r="BN33" s="239">
        <v>1</v>
      </c>
      <c r="BO33" s="239" t="s">
        <v>30</v>
      </c>
      <c r="BP33" s="239">
        <v>0</v>
      </c>
      <c r="BQ33" s="239">
        <v>15</v>
      </c>
    </row>
    <row r="34" spans="1:69" ht="39.950000000000003" customHeight="1" thickBot="1" x14ac:dyDescent="0.3">
      <c r="A34" s="26" t="s">
        <v>59</v>
      </c>
      <c r="B34" s="187">
        <v>0.83333333333333337</v>
      </c>
      <c r="C34" s="26" t="s">
        <v>38</v>
      </c>
      <c r="D34" s="26" t="s">
        <v>17</v>
      </c>
      <c r="E34" s="246"/>
      <c r="G34" s="107">
        <v>1</v>
      </c>
      <c r="H34" s="107" t="s">
        <v>30</v>
      </c>
      <c r="I34" s="107">
        <v>2</v>
      </c>
      <c r="J34" s="117"/>
      <c r="K34" s="234">
        <v>0</v>
      </c>
      <c r="L34" s="235" t="s">
        <v>30</v>
      </c>
      <c r="M34" s="235">
        <v>2</v>
      </c>
      <c r="N34" s="123">
        <f t="shared" si="17"/>
        <v>4</v>
      </c>
      <c r="O34" s="118"/>
      <c r="P34" s="109">
        <v>1</v>
      </c>
      <c r="Q34" s="109" t="s">
        <v>30</v>
      </c>
      <c r="R34" s="109">
        <v>2</v>
      </c>
      <c r="S34" s="109">
        <f t="shared" si="18"/>
        <v>15</v>
      </c>
      <c r="T34" s="108"/>
      <c r="U34" s="223">
        <v>2</v>
      </c>
      <c r="V34" s="223" t="s">
        <v>30</v>
      </c>
      <c r="W34" s="223">
        <v>2</v>
      </c>
      <c r="X34" s="110">
        <f t="shared" si="19"/>
        <v>0</v>
      </c>
      <c r="Y34" s="108"/>
      <c r="Z34" s="165">
        <v>2</v>
      </c>
      <c r="AA34" s="165" t="s">
        <v>30</v>
      </c>
      <c r="AB34" s="165">
        <v>4</v>
      </c>
      <c r="AC34" s="111">
        <f t="shared" si="20"/>
        <v>4</v>
      </c>
      <c r="AD34" s="108"/>
      <c r="AE34" s="112">
        <v>1</v>
      </c>
      <c r="AF34" s="112" t="s">
        <v>30</v>
      </c>
      <c r="AG34" s="112">
        <v>1</v>
      </c>
      <c r="AH34" s="112">
        <f t="shared" si="21"/>
        <v>0</v>
      </c>
      <c r="AI34" s="108"/>
      <c r="AJ34" s="88">
        <v>1</v>
      </c>
      <c r="AK34" s="88" t="s">
        <v>30</v>
      </c>
      <c r="AL34" s="88">
        <v>3</v>
      </c>
      <c r="AM34" s="113">
        <v>8</v>
      </c>
      <c r="AN34" s="108"/>
      <c r="AO34" s="114">
        <v>1</v>
      </c>
      <c r="AP34" s="114" t="s">
        <v>30</v>
      </c>
      <c r="AQ34" s="114">
        <v>2</v>
      </c>
      <c r="AR34" s="114">
        <f t="shared" si="23"/>
        <v>15</v>
      </c>
      <c r="AS34" s="115"/>
      <c r="AT34" s="190">
        <v>1</v>
      </c>
      <c r="AU34" s="190" t="s">
        <v>30</v>
      </c>
      <c r="AV34" s="190">
        <v>1</v>
      </c>
      <c r="AW34" s="190">
        <f t="shared" si="24"/>
        <v>0</v>
      </c>
      <c r="AX34" s="115"/>
      <c r="AY34" s="131">
        <v>2</v>
      </c>
      <c r="AZ34" s="131" t="s">
        <v>30</v>
      </c>
      <c r="BA34" s="131">
        <v>2</v>
      </c>
      <c r="BB34" s="131">
        <f t="shared" si="26"/>
        <v>0</v>
      </c>
      <c r="BC34" s="115"/>
      <c r="BD34" s="151">
        <v>0</v>
      </c>
      <c r="BE34" s="151" t="s">
        <v>30</v>
      </c>
      <c r="BF34" s="151">
        <v>2</v>
      </c>
      <c r="BG34" s="150">
        <f t="shared" si="25"/>
        <v>4</v>
      </c>
      <c r="BH34" s="216"/>
      <c r="BI34" s="123">
        <v>1</v>
      </c>
      <c r="BJ34" s="123" t="s">
        <v>30</v>
      </c>
      <c r="BK34" s="123">
        <v>3</v>
      </c>
      <c r="BL34" s="123">
        <v>4</v>
      </c>
      <c r="BM34" s="216"/>
      <c r="BN34" s="239">
        <v>2</v>
      </c>
      <c r="BO34" s="239" t="s">
        <v>30</v>
      </c>
      <c r="BP34" s="239">
        <v>4</v>
      </c>
      <c r="BQ34" s="239">
        <v>4</v>
      </c>
    </row>
    <row r="35" spans="1:69" s="11" customFormat="1" ht="29.25" thickBot="1" x14ac:dyDescent="0.3">
      <c r="A35"/>
      <c r="B35" s="188"/>
      <c r="C35"/>
      <c r="D35"/>
      <c r="E35"/>
      <c r="F35" s="5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66"/>
      <c r="AA35" s="166"/>
      <c r="AB35" s="16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218"/>
      <c r="BI35" s="218"/>
      <c r="BJ35" s="218"/>
      <c r="BK35" s="218"/>
      <c r="BL35" s="218"/>
      <c r="BM35" s="218"/>
      <c r="BN35" s="218"/>
      <c r="BO35" s="218"/>
      <c r="BP35" s="218"/>
      <c r="BQ35" s="218"/>
    </row>
    <row r="36" spans="1:69" ht="39.950000000000003" customHeight="1" thickBot="1" x14ac:dyDescent="0.3">
      <c r="A36" s="26" t="s">
        <v>61</v>
      </c>
      <c r="B36" s="187">
        <v>0.70833333333333337</v>
      </c>
      <c r="C36" s="26" t="s">
        <v>18</v>
      </c>
      <c r="D36" s="26" t="s">
        <v>45</v>
      </c>
      <c r="E36" s="244" t="s">
        <v>60</v>
      </c>
      <c r="F36" s="16"/>
      <c r="G36" s="107"/>
      <c r="H36" s="107" t="s">
        <v>30</v>
      </c>
      <c r="I36" s="107"/>
      <c r="J36" s="117"/>
      <c r="K36" s="123"/>
      <c r="L36" s="123" t="s">
        <v>30</v>
      </c>
      <c r="M36" s="123"/>
      <c r="N36" s="123" t="str">
        <f t="shared" ref="N36:N43" si="27">IF(OR(G36="", I36="", K36="", M36=""), "", IF(AND(G36=K36, I36=M36), $F$3, IF(G36-I36=K36-M36, $F$4, IF(AND(G36=I36, K36=M36),$F$6, IF(SIGN(G36-I36)=SIGN(K36-M36), $F$5, 0)))))</f>
        <v/>
      </c>
      <c r="O36" s="118"/>
      <c r="P36" s="109"/>
      <c r="Q36" s="109" t="s">
        <v>30</v>
      </c>
      <c r="R36" s="109"/>
      <c r="S36" s="109" t="str">
        <f t="shared" ref="S36:S43" si="28">IF(OR(G36="", I36="", P36="", R36=""), "", IF(AND(G36=P36, I36=R36), $F$3, IF(G36-I36=P36-R36, $F$4, IF(AND(G36=I36, P36=R36),$F$6, IF(SIGN(G36-I36)=SIGN(P36-R36), $F$5, 0)))))</f>
        <v/>
      </c>
      <c r="T36" s="108"/>
      <c r="U36" s="110"/>
      <c r="V36" s="110" t="s">
        <v>30</v>
      </c>
      <c r="W36" s="110"/>
      <c r="X36" s="110" t="str">
        <f t="shared" ref="X36:X43" si="29">IF(OR(G36="", I36="", U36="", W36=""), "", IF(AND(G36=U36, I36=W36), $F$3, IF(G36-I36=U36-W36, $F$4, IF(AND(G36=I36, U36=W36),$F$6, IF(SIGN(G36-I36)=SIGN(U36-W36), $F$5, 0)))))</f>
        <v/>
      </c>
      <c r="Y36" s="108"/>
      <c r="Z36" s="165"/>
      <c r="AA36" s="165" t="s">
        <v>30</v>
      </c>
      <c r="AB36" s="165"/>
      <c r="AC36" s="111" t="str">
        <f t="shared" ref="AC36:AC43" si="30">IF(OR(G36="", I36="", Z36="", AB36=""), "", IF(AND(G36=Z36, I36=AB36), $F$3, IF(G36-I36=Z36-AB36, $F$4, IF(AND(G36=I36, Z36=AB36),$F$6, IF(SIGN(G36-I36)=SIGN(Z36-AB36), $F$5, 0)))))</f>
        <v/>
      </c>
      <c r="AD36" s="108"/>
      <c r="AE36" s="112"/>
      <c r="AF36" s="112" t="s">
        <v>30</v>
      </c>
      <c r="AG36" s="112"/>
      <c r="AH36" s="112" t="str">
        <f t="shared" ref="AH36:AH43" si="31">IF(OR(G36="", I36="", AE36="", AG36=""), "", IF(AND(G36=AE36, I36=AG36), $F$3, IF(G36-I36=AE36-AG36, $F$4, IF(AND(G36=I36, AE36=AG36),$F$6, IF(SIGN(G36-I36)=SIGN(AE36-AG36), $F$5, 0)))))</f>
        <v/>
      </c>
      <c r="AI36" s="108"/>
      <c r="AJ36" s="113"/>
      <c r="AK36" s="113" t="s">
        <v>30</v>
      </c>
      <c r="AL36" s="113"/>
      <c r="AM36" s="113" t="str">
        <f t="shared" ref="AM36:AM43" si="32">IF(OR(G36="", I36="", AJ36="", AL36=""), "", IF(AND(G36=AJ36, I36=AL36), $F$3, IF(G36-I36=AJ36-AL36, $F$4, IF(AND(G36=I36, AJ36=AL36),$F$6, IF(SIGN(G36-I36)=SIGN(AJ36-AL36), $F$5, 0)))))</f>
        <v/>
      </c>
      <c r="AN36" s="108"/>
      <c r="AO36" s="114"/>
      <c r="AP36" s="114" t="s">
        <v>30</v>
      </c>
      <c r="AQ36" s="114"/>
      <c r="AR36" s="114" t="str">
        <f t="shared" ref="AR36:AR43" si="33">IF(OR(G36="", I36="", AO36="", AQ36=""), "", IF(AND(G36=AO36, I36=AQ36), $F$3, IF(G36-I36=AO36-AQ36, $F$4, IF(AND(G36=I36, AO36=AQ36),$F$6, IF(SIGN(G36-I36)=SIGN(AO36-AQ36), $F$5, 0)))))</f>
        <v/>
      </c>
      <c r="AS36" s="115"/>
      <c r="AT36" s="190"/>
      <c r="AU36" s="190" t="s">
        <v>30</v>
      </c>
      <c r="AV36" s="190"/>
      <c r="AW36" s="190" t="str">
        <f t="shared" ref="AW36:AW43" si="34">IF(OR(G36="", I36="", AT36="", AV36=""), "", IF(AND(G36=AT36, I36=AV36), $F$3, IF(G36-I36=AT36-AV36, $F$4, IF(AND(G36=I36, AT36=AV36),$F$6, IF(SIGN(G36-I36)=SIGN(AT36-AV36), $F$5, 0)))))</f>
        <v/>
      </c>
      <c r="AX36" s="115"/>
      <c r="AY36" s="131"/>
      <c r="AZ36" s="131" t="s">
        <v>30</v>
      </c>
      <c r="BA36" s="131"/>
      <c r="BB36" s="131" t="str">
        <f t="shared" ref="BB36:BB43" si="35">IF(OR(G36="", I36="", AY36="", BA36=""), "", IF(AND(G36=AY36, I36=BA36), $F$3, IF(G36-I36=AY36-BA36, $F$4, IF(AND(G36=I36, AY36=BA36),$F$6, IF(SIGN(G36-I36)=SIGN(AY36-BA36), $F$5, 0)))))</f>
        <v/>
      </c>
      <c r="BC36" s="115"/>
      <c r="BD36" s="151"/>
      <c r="BE36" s="151" t="s">
        <v>30</v>
      </c>
      <c r="BF36" s="151"/>
      <c r="BG36" s="150" t="str">
        <f t="shared" ref="BG36:BG43" si="36">IF(OR(G36="", I36="", BD36="", BF36=""), "", IF(AND(G36=BD36, I36=BF36), $F$3, IF(G36-I36=BD36-BF36, $F$4, IF(AND(G36=I36, BD36=BF36),$F$6, IF(SIGN(G36-I36)=SIGN(BD36-BF36), $F$5, 0)))))</f>
        <v/>
      </c>
      <c r="BH36" s="216"/>
      <c r="BI36" s="123"/>
      <c r="BJ36" s="123" t="s">
        <v>30</v>
      </c>
      <c r="BK36" s="123"/>
      <c r="BL36" s="123" t="str">
        <f t="shared" ref="BL36:BL43" si="37">IF(OR(L36="", N36="", BI36="", BK36=""), "", IF(AND(L36=BI36, N36=BK36), $F$3, IF(L36-N36=BI36-BK36, $F$4, IF(AND(L36=N36, BI36=BK36),$F$6, IF(SIGN(L36-N36)=SIGN(BI36-BK36), $F$5, 0)))))</f>
        <v/>
      </c>
      <c r="BM36" s="216"/>
      <c r="BN36" s="239"/>
      <c r="BO36" s="239" t="s">
        <v>30</v>
      </c>
      <c r="BP36" s="239"/>
      <c r="BQ36" s="239" t="str">
        <f t="shared" ref="BQ36:BQ43" si="38">IF(OR(Q36="", S36="", BN36="", BP36=""), "", IF(AND(Q36=BN36, S36=BP36), $F$3, IF(Q36-S36=BN36-BP36, $F$4, IF(AND(Q36=S36, BN36=BP36),$F$6, IF(SIGN(Q36-S36)=SIGN(BN36-BP36), $F$5, 0)))))</f>
        <v/>
      </c>
    </row>
    <row r="37" spans="1:69" ht="39.950000000000003" customHeight="1" thickBot="1" x14ac:dyDescent="0.3">
      <c r="A37" s="26" t="s">
        <v>61</v>
      </c>
      <c r="B37" s="187">
        <v>0.70833333333333337</v>
      </c>
      <c r="C37" s="26" t="s">
        <v>20</v>
      </c>
      <c r="D37" s="26" t="s">
        <v>17</v>
      </c>
      <c r="E37" s="245"/>
      <c r="G37" s="107"/>
      <c r="H37" s="107" t="s">
        <v>30</v>
      </c>
      <c r="I37" s="107"/>
      <c r="J37" s="117"/>
      <c r="K37" s="123"/>
      <c r="L37" s="123" t="s">
        <v>30</v>
      </c>
      <c r="M37" s="123"/>
      <c r="N37" s="123" t="str">
        <f t="shared" si="27"/>
        <v/>
      </c>
      <c r="O37" s="118"/>
      <c r="P37" s="109"/>
      <c r="Q37" s="109" t="s">
        <v>30</v>
      </c>
      <c r="R37" s="109"/>
      <c r="S37" s="109" t="str">
        <f t="shared" si="28"/>
        <v/>
      </c>
      <c r="T37" s="108"/>
      <c r="U37" s="110"/>
      <c r="V37" s="110" t="s">
        <v>30</v>
      </c>
      <c r="W37" s="110"/>
      <c r="X37" s="110" t="str">
        <f t="shared" si="29"/>
        <v/>
      </c>
      <c r="Y37" s="108"/>
      <c r="Z37" s="165"/>
      <c r="AA37" s="165" t="s">
        <v>30</v>
      </c>
      <c r="AB37" s="165"/>
      <c r="AC37" s="111" t="str">
        <f t="shared" si="30"/>
        <v/>
      </c>
      <c r="AD37" s="108"/>
      <c r="AE37" s="112"/>
      <c r="AF37" s="112" t="s">
        <v>30</v>
      </c>
      <c r="AG37" s="112"/>
      <c r="AH37" s="112" t="str">
        <f t="shared" si="31"/>
        <v/>
      </c>
      <c r="AI37" s="108"/>
      <c r="AJ37" s="113"/>
      <c r="AK37" s="113" t="s">
        <v>30</v>
      </c>
      <c r="AL37" s="113"/>
      <c r="AM37" s="113" t="str">
        <f t="shared" si="32"/>
        <v/>
      </c>
      <c r="AN37" s="108"/>
      <c r="AO37" s="114"/>
      <c r="AP37" s="114" t="s">
        <v>30</v>
      </c>
      <c r="AQ37" s="114"/>
      <c r="AR37" s="114" t="str">
        <f t="shared" si="33"/>
        <v/>
      </c>
      <c r="AS37" s="115"/>
      <c r="AT37" s="190"/>
      <c r="AU37" s="190" t="s">
        <v>30</v>
      </c>
      <c r="AV37" s="190"/>
      <c r="AW37" s="190" t="str">
        <f t="shared" si="34"/>
        <v/>
      </c>
      <c r="AX37" s="115"/>
      <c r="AY37" s="131"/>
      <c r="AZ37" s="131" t="s">
        <v>30</v>
      </c>
      <c r="BA37" s="131"/>
      <c r="BB37" s="131" t="str">
        <f t="shared" si="35"/>
        <v/>
      </c>
      <c r="BC37" s="115"/>
      <c r="BD37" s="151"/>
      <c r="BE37" s="151" t="s">
        <v>30</v>
      </c>
      <c r="BF37" s="151"/>
      <c r="BG37" s="150" t="str">
        <f t="shared" si="36"/>
        <v/>
      </c>
      <c r="BH37" s="216"/>
      <c r="BI37" s="123"/>
      <c r="BJ37" s="123" t="s">
        <v>30</v>
      </c>
      <c r="BK37" s="123"/>
      <c r="BL37" s="123" t="str">
        <f t="shared" si="37"/>
        <v/>
      </c>
      <c r="BM37" s="216"/>
      <c r="BN37" s="239"/>
      <c r="BO37" s="239" t="s">
        <v>30</v>
      </c>
      <c r="BP37" s="239"/>
      <c r="BQ37" s="239" t="str">
        <f t="shared" si="38"/>
        <v/>
      </c>
    </row>
    <row r="38" spans="1:69" ht="39.950000000000003" customHeight="1" thickBot="1" x14ac:dyDescent="0.3">
      <c r="A38" s="26" t="s">
        <v>61</v>
      </c>
      <c r="B38" s="187">
        <v>0.70833333333333337</v>
      </c>
      <c r="C38" s="26" t="s">
        <v>23</v>
      </c>
      <c r="D38" s="26" t="s">
        <v>21</v>
      </c>
      <c r="E38" s="245"/>
      <c r="G38" s="107"/>
      <c r="H38" s="107" t="s">
        <v>30</v>
      </c>
      <c r="I38" s="107"/>
      <c r="J38" s="117"/>
      <c r="K38" s="123"/>
      <c r="L38" s="123" t="s">
        <v>30</v>
      </c>
      <c r="M38" s="123"/>
      <c r="N38" s="123" t="str">
        <f t="shared" si="27"/>
        <v/>
      </c>
      <c r="O38" s="118"/>
      <c r="P38" s="109"/>
      <c r="Q38" s="109" t="s">
        <v>30</v>
      </c>
      <c r="R38" s="109"/>
      <c r="S38" s="109" t="str">
        <f t="shared" si="28"/>
        <v/>
      </c>
      <c r="T38" s="108"/>
      <c r="U38" s="110"/>
      <c r="V38" s="110" t="s">
        <v>30</v>
      </c>
      <c r="W38" s="110"/>
      <c r="X38" s="110" t="str">
        <f t="shared" si="29"/>
        <v/>
      </c>
      <c r="Y38" s="108"/>
      <c r="Z38" s="165"/>
      <c r="AA38" s="165" t="s">
        <v>30</v>
      </c>
      <c r="AB38" s="165"/>
      <c r="AC38" s="111" t="str">
        <f t="shared" si="30"/>
        <v/>
      </c>
      <c r="AD38" s="108"/>
      <c r="AE38" s="112"/>
      <c r="AF38" s="112" t="s">
        <v>30</v>
      </c>
      <c r="AG38" s="112"/>
      <c r="AH38" s="112" t="str">
        <f t="shared" si="31"/>
        <v/>
      </c>
      <c r="AI38" s="108"/>
      <c r="AJ38" s="113"/>
      <c r="AK38" s="113" t="s">
        <v>30</v>
      </c>
      <c r="AL38" s="113"/>
      <c r="AM38" s="113" t="str">
        <f t="shared" si="32"/>
        <v/>
      </c>
      <c r="AN38" s="108"/>
      <c r="AO38" s="114"/>
      <c r="AP38" s="114" t="s">
        <v>30</v>
      </c>
      <c r="AQ38" s="114"/>
      <c r="AR38" s="114" t="str">
        <f t="shared" si="33"/>
        <v/>
      </c>
      <c r="AS38" s="115"/>
      <c r="AT38" s="190"/>
      <c r="AU38" s="190" t="s">
        <v>30</v>
      </c>
      <c r="AV38" s="190"/>
      <c r="AW38" s="190" t="str">
        <f t="shared" si="34"/>
        <v/>
      </c>
      <c r="AX38" s="115"/>
      <c r="AY38" s="131"/>
      <c r="AZ38" s="131" t="s">
        <v>30</v>
      </c>
      <c r="BA38" s="131"/>
      <c r="BB38" s="131" t="str">
        <f t="shared" si="35"/>
        <v/>
      </c>
      <c r="BC38" s="115"/>
      <c r="BD38" s="151"/>
      <c r="BE38" s="151" t="s">
        <v>30</v>
      </c>
      <c r="BF38" s="151"/>
      <c r="BG38" s="150" t="str">
        <f t="shared" si="36"/>
        <v/>
      </c>
      <c r="BH38" s="216"/>
      <c r="BI38" s="123"/>
      <c r="BJ38" s="123" t="s">
        <v>30</v>
      </c>
      <c r="BK38" s="123"/>
      <c r="BL38" s="123" t="str">
        <f t="shared" si="37"/>
        <v/>
      </c>
      <c r="BM38" s="216"/>
      <c r="BN38" s="239"/>
      <c r="BO38" s="239" t="s">
        <v>30</v>
      </c>
      <c r="BP38" s="239"/>
      <c r="BQ38" s="239" t="str">
        <f t="shared" si="38"/>
        <v/>
      </c>
    </row>
    <row r="39" spans="1:69" ht="39.950000000000003" customHeight="1" thickBot="1" x14ac:dyDescent="0.3">
      <c r="A39" s="26" t="s">
        <v>61</v>
      </c>
      <c r="B39" s="187">
        <v>0.83333333333333337</v>
      </c>
      <c r="C39" s="26" t="s">
        <v>15</v>
      </c>
      <c r="D39" s="26" t="s">
        <v>29</v>
      </c>
      <c r="E39" s="245"/>
      <c r="G39" s="107"/>
      <c r="H39" s="107" t="s">
        <v>30</v>
      </c>
      <c r="I39" s="107"/>
      <c r="J39" s="117"/>
      <c r="K39" s="123"/>
      <c r="L39" s="123" t="s">
        <v>30</v>
      </c>
      <c r="M39" s="123"/>
      <c r="N39" s="123" t="str">
        <f t="shared" si="27"/>
        <v/>
      </c>
      <c r="O39" s="118"/>
      <c r="P39" s="109"/>
      <c r="Q39" s="109" t="s">
        <v>30</v>
      </c>
      <c r="R39" s="109"/>
      <c r="S39" s="109" t="str">
        <f t="shared" si="28"/>
        <v/>
      </c>
      <c r="T39" s="108"/>
      <c r="U39" s="110"/>
      <c r="V39" s="110" t="s">
        <v>30</v>
      </c>
      <c r="W39" s="110"/>
      <c r="X39" s="110" t="str">
        <f t="shared" si="29"/>
        <v/>
      </c>
      <c r="Y39" s="108"/>
      <c r="Z39" s="165"/>
      <c r="AA39" s="165" t="s">
        <v>30</v>
      </c>
      <c r="AB39" s="165"/>
      <c r="AC39" s="111" t="str">
        <f t="shared" si="30"/>
        <v/>
      </c>
      <c r="AD39" s="108"/>
      <c r="AE39" s="112"/>
      <c r="AF39" s="112" t="s">
        <v>30</v>
      </c>
      <c r="AG39" s="112"/>
      <c r="AH39" s="112" t="str">
        <f t="shared" si="31"/>
        <v/>
      </c>
      <c r="AI39" s="108"/>
      <c r="AJ39" s="113"/>
      <c r="AK39" s="113" t="s">
        <v>30</v>
      </c>
      <c r="AL39" s="113"/>
      <c r="AM39" s="113" t="str">
        <f t="shared" si="32"/>
        <v/>
      </c>
      <c r="AN39" s="108"/>
      <c r="AO39" s="114"/>
      <c r="AP39" s="114" t="s">
        <v>30</v>
      </c>
      <c r="AQ39" s="114"/>
      <c r="AR39" s="114" t="str">
        <f t="shared" si="33"/>
        <v/>
      </c>
      <c r="AS39" s="115"/>
      <c r="AT39" s="190"/>
      <c r="AU39" s="190" t="s">
        <v>30</v>
      </c>
      <c r="AV39" s="190"/>
      <c r="AW39" s="190" t="str">
        <f t="shared" si="34"/>
        <v/>
      </c>
      <c r="AX39" s="115"/>
      <c r="AY39" s="131"/>
      <c r="AZ39" s="131" t="s">
        <v>30</v>
      </c>
      <c r="BA39" s="131"/>
      <c r="BB39" s="131" t="str">
        <f t="shared" si="35"/>
        <v/>
      </c>
      <c r="BC39" s="115"/>
      <c r="BD39" s="151"/>
      <c r="BE39" s="151" t="s">
        <v>30</v>
      </c>
      <c r="BF39" s="151"/>
      <c r="BG39" s="150" t="str">
        <f t="shared" si="36"/>
        <v/>
      </c>
      <c r="BH39" s="216"/>
      <c r="BI39" s="123"/>
      <c r="BJ39" s="123" t="s">
        <v>30</v>
      </c>
      <c r="BK39" s="123"/>
      <c r="BL39" s="123" t="str">
        <f t="shared" si="37"/>
        <v/>
      </c>
      <c r="BM39" s="216"/>
      <c r="BN39" s="239"/>
      <c r="BO39" s="239" t="s">
        <v>30</v>
      </c>
      <c r="BP39" s="239"/>
      <c r="BQ39" s="239" t="str">
        <f t="shared" si="38"/>
        <v/>
      </c>
    </row>
    <row r="40" spans="1:69" s="3" customFormat="1" ht="39.950000000000003" customHeight="1" thickBot="1" x14ac:dyDescent="0.3">
      <c r="A40" s="26" t="s">
        <v>62</v>
      </c>
      <c r="B40" s="187">
        <v>0.625</v>
      </c>
      <c r="C40" s="26" t="s">
        <v>44</v>
      </c>
      <c r="D40" s="26" t="s">
        <v>38</v>
      </c>
      <c r="E40" s="245"/>
      <c r="F40" s="6"/>
      <c r="G40" s="107"/>
      <c r="H40" s="107" t="s">
        <v>30</v>
      </c>
      <c r="I40" s="107"/>
      <c r="J40" s="117"/>
      <c r="K40" s="123"/>
      <c r="L40" s="123" t="s">
        <v>30</v>
      </c>
      <c r="M40" s="123"/>
      <c r="N40" s="123" t="str">
        <f t="shared" si="27"/>
        <v/>
      </c>
      <c r="O40" s="118"/>
      <c r="P40" s="109"/>
      <c r="Q40" s="109" t="s">
        <v>30</v>
      </c>
      <c r="R40" s="109"/>
      <c r="S40" s="109" t="str">
        <f t="shared" si="28"/>
        <v/>
      </c>
      <c r="T40" s="108"/>
      <c r="U40" s="110"/>
      <c r="V40" s="110" t="s">
        <v>30</v>
      </c>
      <c r="W40" s="110"/>
      <c r="X40" s="110" t="str">
        <f t="shared" si="29"/>
        <v/>
      </c>
      <c r="Y40" s="108"/>
      <c r="Z40" s="165"/>
      <c r="AA40" s="165" t="s">
        <v>30</v>
      </c>
      <c r="AB40" s="165"/>
      <c r="AC40" s="111" t="str">
        <f t="shared" si="30"/>
        <v/>
      </c>
      <c r="AD40" s="108"/>
      <c r="AE40" s="112"/>
      <c r="AF40" s="112" t="s">
        <v>30</v>
      </c>
      <c r="AG40" s="112"/>
      <c r="AH40" s="112" t="str">
        <f t="shared" si="31"/>
        <v/>
      </c>
      <c r="AI40" s="108"/>
      <c r="AJ40" s="113"/>
      <c r="AK40" s="113" t="s">
        <v>30</v>
      </c>
      <c r="AL40" s="113"/>
      <c r="AM40" s="113" t="str">
        <f t="shared" si="32"/>
        <v/>
      </c>
      <c r="AN40" s="108"/>
      <c r="AO40" s="114"/>
      <c r="AP40" s="114" t="s">
        <v>30</v>
      </c>
      <c r="AQ40" s="114"/>
      <c r="AR40" s="114" t="str">
        <f t="shared" si="33"/>
        <v/>
      </c>
      <c r="AS40" s="115"/>
      <c r="AT40" s="190"/>
      <c r="AU40" s="190" t="s">
        <v>30</v>
      </c>
      <c r="AV40" s="190"/>
      <c r="AW40" s="190" t="str">
        <f t="shared" si="34"/>
        <v/>
      </c>
      <c r="AX40" s="115"/>
      <c r="AY40" s="131"/>
      <c r="AZ40" s="131" t="s">
        <v>30</v>
      </c>
      <c r="BA40" s="131"/>
      <c r="BB40" s="131" t="str">
        <f t="shared" si="35"/>
        <v/>
      </c>
      <c r="BC40" s="115"/>
      <c r="BD40" s="151"/>
      <c r="BE40" s="151" t="s">
        <v>30</v>
      </c>
      <c r="BF40" s="151"/>
      <c r="BG40" s="150" t="str">
        <f t="shared" si="36"/>
        <v/>
      </c>
      <c r="BH40" s="216"/>
      <c r="BI40" s="123"/>
      <c r="BJ40" s="123" t="s">
        <v>30</v>
      </c>
      <c r="BK40" s="123"/>
      <c r="BL40" s="123" t="str">
        <f t="shared" si="37"/>
        <v/>
      </c>
      <c r="BM40" s="216"/>
      <c r="BN40" s="239"/>
      <c r="BO40" s="239" t="s">
        <v>30</v>
      </c>
      <c r="BP40" s="239"/>
      <c r="BQ40" s="239" t="str">
        <f t="shared" si="38"/>
        <v/>
      </c>
    </row>
    <row r="41" spans="1:69" ht="39.950000000000003" customHeight="1" thickBot="1" x14ac:dyDescent="0.3">
      <c r="A41" s="26" t="s">
        <v>62</v>
      </c>
      <c r="B41" s="187">
        <v>0.70833333333333337</v>
      </c>
      <c r="C41" s="26" t="s">
        <v>24</v>
      </c>
      <c r="D41" s="26" t="s">
        <v>19</v>
      </c>
      <c r="E41" s="245"/>
      <c r="G41" s="107"/>
      <c r="H41" s="107" t="s">
        <v>30</v>
      </c>
      <c r="I41" s="107"/>
      <c r="J41" s="117"/>
      <c r="K41" s="123"/>
      <c r="L41" s="123" t="s">
        <v>30</v>
      </c>
      <c r="M41" s="123"/>
      <c r="N41" s="123" t="str">
        <f t="shared" si="27"/>
        <v/>
      </c>
      <c r="O41" s="118"/>
      <c r="P41" s="109"/>
      <c r="Q41" s="109" t="s">
        <v>30</v>
      </c>
      <c r="R41" s="109"/>
      <c r="S41" s="109" t="str">
        <f t="shared" si="28"/>
        <v/>
      </c>
      <c r="T41" s="108"/>
      <c r="U41" s="110"/>
      <c r="V41" s="110" t="s">
        <v>30</v>
      </c>
      <c r="W41" s="110"/>
      <c r="X41" s="110" t="str">
        <f t="shared" si="29"/>
        <v/>
      </c>
      <c r="Y41" s="108"/>
      <c r="Z41" s="165"/>
      <c r="AA41" s="165" t="s">
        <v>30</v>
      </c>
      <c r="AB41" s="165"/>
      <c r="AC41" s="111" t="str">
        <f t="shared" si="30"/>
        <v/>
      </c>
      <c r="AD41" s="108"/>
      <c r="AE41" s="112"/>
      <c r="AF41" s="112" t="s">
        <v>30</v>
      </c>
      <c r="AG41" s="112"/>
      <c r="AH41" s="112" t="str">
        <f t="shared" si="31"/>
        <v/>
      </c>
      <c r="AI41" s="108"/>
      <c r="AJ41" s="113"/>
      <c r="AK41" s="113" t="s">
        <v>30</v>
      </c>
      <c r="AL41" s="113"/>
      <c r="AM41" s="113" t="str">
        <f t="shared" si="32"/>
        <v/>
      </c>
      <c r="AN41" s="108"/>
      <c r="AO41" s="114"/>
      <c r="AP41" s="114" t="s">
        <v>30</v>
      </c>
      <c r="AQ41" s="114"/>
      <c r="AR41" s="114" t="str">
        <f t="shared" si="33"/>
        <v/>
      </c>
      <c r="AS41" s="115"/>
      <c r="AT41" s="190"/>
      <c r="AU41" s="190" t="s">
        <v>30</v>
      </c>
      <c r="AV41" s="190"/>
      <c r="AW41" s="190" t="str">
        <f t="shared" si="34"/>
        <v/>
      </c>
      <c r="AX41" s="115"/>
      <c r="AY41" s="131"/>
      <c r="AZ41" s="131" t="s">
        <v>30</v>
      </c>
      <c r="BA41" s="131"/>
      <c r="BB41" s="131" t="str">
        <f t="shared" si="35"/>
        <v/>
      </c>
      <c r="BC41" s="115"/>
      <c r="BD41" s="151"/>
      <c r="BE41" s="151" t="s">
        <v>30</v>
      </c>
      <c r="BF41" s="151"/>
      <c r="BG41" s="150" t="str">
        <f t="shared" si="36"/>
        <v/>
      </c>
      <c r="BH41" s="216"/>
      <c r="BI41" s="123"/>
      <c r="BJ41" s="123" t="s">
        <v>30</v>
      </c>
      <c r="BK41" s="123"/>
      <c r="BL41" s="123" t="str">
        <f t="shared" si="37"/>
        <v/>
      </c>
      <c r="BM41" s="216"/>
      <c r="BN41" s="239"/>
      <c r="BO41" s="239" t="s">
        <v>30</v>
      </c>
      <c r="BP41" s="239"/>
      <c r="BQ41" s="239" t="str">
        <f t="shared" si="38"/>
        <v/>
      </c>
    </row>
    <row r="42" spans="1:69" ht="39.950000000000003" customHeight="1" thickBot="1" x14ac:dyDescent="0.3">
      <c r="A42" s="26" t="s">
        <v>62</v>
      </c>
      <c r="B42" s="187">
        <v>0.83333333333333337</v>
      </c>
      <c r="C42" s="26" t="s">
        <v>16</v>
      </c>
      <c r="D42" s="26" t="s">
        <v>22</v>
      </c>
      <c r="E42" s="245"/>
      <c r="G42" s="107"/>
      <c r="H42" s="107" t="s">
        <v>30</v>
      </c>
      <c r="I42" s="107"/>
      <c r="J42" s="117"/>
      <c r="K42" s="123"/>
      <c r="L42" s="123" t="s">
        <v>30</v>
      </c>
      <c r="M42" s="123"/>
      <c r="N42" s="123" t="str">
        <f t="shared" si="27"/>
        <v/>
      </c>
      <c r="O42" s="118"/>
      <c r="P42" s="109"/>
      <c r="Q42" s="109" t="s">
        <v>30</v>
      </c>
      <c r="R42" s="109"/>
      <c r="S42" s="109" t="str">
        <f t="shared" si="28"/>
        <v/>
      </c>
      <c r="T42" s="108"/>
      <c r="U42" s="110"/>
      <c r="V42" s="110" t="s">
        <v>30</v>
      </c>
      <c r="W42" s="110"/>
      <c r="X42" s="110" t="str">
        <f t="shared" si="29"/>
        <v/>
      </c>
      <c r="Y42" s="108"/>
      <c r="Z42" s="165"/>
      <c r="AA42" s="165" t="s">
        <v>30</v>
      </c>
      <c r="AB42" s="165"/>
      <c r="AC42" s="111" t="str">
        <f t="shared" si="30"/>
        <v/>
      </c>
      <c r="AD42" s="108"/>
      <c r="AE42" s="112"/>
      <c r="AF42" s="112" t="s">
        <v>30</v>
      </c>
      <c r="AG42" s="112"/>
      <c r="AH42" s="112" t="str">
        <f t="shared" si="31"/>
        <v/>
      </c>
      <c r="AI42" s="108"/>
      <c r="AJ42" s="113"/>
      <c r="AK42" s="113" t="s">
        <v>30</v>
      </c>
      <c r="AL42" s="113"/>
      <c r="AM42" s="113" t="str">
        <f t="shared" si="32"/>
        <v/>
      </c>
      <c r="AN42" s="108"/>
      <c r="AO42" s="114"/>
      <c r="AP42" s="114" t="s">
        <v>30</v>
      </c>
      <c r="AQ42" s="114"/>
      <c r="AR42" s="114" t="str">
        <f t="shared" si="33"/>
        <v/>
      </c>
      <c r="AS42" s="115"/>
      <c r="AT42" s="190"/>
      <c r="AU42" s="190" t="s">
        <v>30</v>
      </c>
      <c r="AV42" s="190"/>
      <c r="AW42" s="190" t="str">
        <f t="shared" si="34"/>
        <v/>
      </c>
      <c r="AX42" s="115"/>
      <c r="AY42" s="131"/>
      <c r="AZ42" s="131" t="s">
        <v>30</v>
      </c>
      <c r="BA42" s="131"/>
      <c r="BB42" s="131" t="str">
        <f t="shared" si="35"/>
        <v/>
      </c>
      <c r="BC42" s="115"/>
      <c r="BD42" s="151"/>
      <c r="BE42" s="151" t="s">
        <v>30</v>
      </c>
      <c r="BF42" s="151"/>
      <c r="BG42" s="150" t="str">
        <f t="shared" si="36"/>
        <v/>
      </c>
      <c r="BH42" s="216"/>
      <c r="BI42" s="123"/>
      <c r="BJ42" s="123" t="s">
        <v>30</v>
      </c>
      <c r="BK42" s="123"/>
      <c r="BL42" s="123" t="str">
        <f t="shared" si="37"/>
        <v/>
      </c>
      <c r="BM42" s="216"/>
      <c r="BN42" s="239"/>
      <c r="BO42" s="239" t="s">
        <v>30</v>
      </c>
      <c r="BP42" s="239"/>
      <c r="BQ42" s="239" t="str">
        <f t="shared" si="38"/>
        <v/>
      </c>
    </row>
    <row r="43" spans="1:69" ht="39.950000000000003" customHeight="1" thickBot="1" x14ac:dyDescent="0.3">
      <c r="A43" s="26" t="s">
        <v>64</v>
      </c>
      <c r="B43" s="187"/>
      <c r="C43" s="26"/>
      <c r="D43" s="26"/>
      <c r="E43" s="246"/>
      <c r="G43" s="107"/>
      <c r="H43" s="107" t="s">
        <v>30</v>
      </c>
      <c r="I43" s="107"/>
      <c r="J43" s="117"/>
      <c r="K43" s="123"/>
      <c r="L43" s="123" t="s">
        <v>30</v>
      </c>
      <c r="M43" s="123"/>
      <c r="N43" s="123" t="str">
        <f t="shared" si="27"/>
        <v/>
      </c>
      <c r="O43" s="118"/>
      <c r="P43" s="109"/>
      <c r="Q43" s="109" t="s">
        <v>30</v>
      </c>
      <c r="R43" s="109"/>
      <c r="S43" s="109" t="str">
        <f t="shared" si="28"/>
        <v/>
      </c>
      <c r="T43" s="108"/>
      <c r="U43" s="110"/>
      <c r="V43" s="110" t="s">
        <v>30</v>
      </c>
      <c r="W43" s="110"/>
      <c r="X43" s="110" t="str">
        <f t="shared" si="29"/>
        <v/>
      </c>
      <c r="Y43" s="108"/>
      <c r="Z43" s="165"/>
      <c r="AA43" s="165" t="s">
        <v>30</v>
      </c>
      <c r="AB43" s="165"/>
      <c r="AC43" s="111" t="str">
        <f t="shared" si="30"/>
        <v/>
      </c>
      <c r="AD43" s="108"/>
      <c r="AE43" s="112"/>
      <c r="AF43" s="112" t="s">
        <v>30</v>
      </c>
      <c r="AG43" s="112"/>
      <c r="AH43" s="112" t="str">
        <f t="shared" si="31"/>
        <v/>
      </c>
      <c r="AI43" s="108"/>
      <c r="AJ43" s="113"/>
      <c r="AK43" s="113" t="s">
        <v>30</v>
      </c>
      <c r="AL43" s="113"/>
      <c r="AM43" s="113" t="str">
        <f t="shared" si="32"/>
        <v/>
      </c>
      <c r="AN43" s="108"/>
      <c r="AO43" s="114"/>
      <c r="AP43" s="114" t="s">
        <v>30</v>
      </c>
      <c r="AQ43" s="114"/>
      <c r="AR43" s="114" t="str">
        <f t="shared" si="33"/>
        <v/>
      </c>
      <c r="AS43" s="115"/>
      <c r="AT43" s="190"/>
      <c r="AU43" s="190" t="s">
        <v>30</v>
      </c>
      <c r="AV43" s="190"/>
      <c r="AW43" s="190" t="str">
        <f t="shared" si="34"/>
        <v/>
      </c>
      <c r="AX43" s="115"/>
      <c r="AY43" s="131"/>
      <c r="AZ43" s="131" t="s">
        <v>30</v>
      </c>
      <c r="BA43" s="131"/>
      <c r="BB43" s="131" t="str">
        <f t="shared" si="35"/>
        <v/>
      </c>
      <c r="BC43" s="115"/>
      <c r="BD43" s="151"/>
      <c r="BE43" s="151" t="s">
        <v>30</v>
      </c>
      <c r="BF43" s="151"/>
      <c r="BG43" s="150" t="str">
        <f t="shared" si="36"/>
        <v/>
      </c>
      <c r="BH43" s="216"/>
      <c r="BI43" s="123"/>
      <c r="BJ43" s="123" t="s">
        <v>30</v>
      </c>
      <c r="BK43" s="123"/>
      <c r="BL43" s="123" t="str">
        <f t="shared" si="37"/>
        <v/>
      </c>
      <c r="BM43" s="216"/>
      <c r="BN43" s="239"/>
      <c r="BO43" s="239" t="s">
        <v>30</v>
      </c>
      <c r="BP43" s="239"/>
      <c r="BQ43" s="239" t="str">
        <f t="shared" si="38"/>
        <v/>
      </c>
    </row>
    <row r="44" spans="1:69" s="11" customFormat="1" ht="29.25" thickBot="1" x14ac:dyDescent="0.3">
      <c r="A44"/>
      <c r="B44" s="188"/>
      <c r="C44"/>
      <c r="D44"/>
      <c r="E44"/>
      <c r="F44" s="5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66"/>
      <c r="AA44" s="166"/>
      <c r="AB44" s="16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218"/>
      <c r="BI44" s="218"/>
      <c r="BJ44" s="218"/>
      <c r="BK44" s="218"/>
      <c r="BL44" s="218"/>
      <c r="BM44" s="218"/>
      <c r="BN44" s="218"/>
      <c r="BO44" s="218"/>
      <c r="BP44" s="218"/>
      <c r="BQ44" s="218"/>
    </row>
    <row r="45" spans="1:69" ht="39.950000000000003" customHeight="1" thickBot="1" x14ac:dyDescent="0.3">
      <c r="A45" s="26" t="s">
        <v>65</v>
      </c>
      <c r="B45" s="187">
        <v>0.70833333333333337</v>
      </c>
      <c r="C45" s="26" t="s">
        <v>38</v>
      </c>
      <c r="D45" s="26" t="s">
        <v>23</v>
      </c>
      <c r="E45" s="244" t="s">
        <v>63</v>
      </c>
      <c r="F45" s="16"/>
      <c r="G45" s="107"/>
      <c r="H45" s="107" t="s">
        <v>30</v>
      </c>
      <c r="I45" s="107"/>
      <c r="J45" s="117"/>
      <c r="K45" s="123"/>
      <c r="L45" s="123" t="s">
        <v>30</v>
      </c>
      <c r="M45" s="123"/>
      <c r="N45" s="123" t="str">
        <f t="shared" ref="N45:N52" si="39">IF(OR(G45="", I45="", K45="", M45=""), "", IF(AND(G45=K45, I45=M45), $F$3, IF(G45-I45=K45-M45, $F$4, IF(AND(G45=I45, K45=M45),$F$6, IF(SIGN(G45-I45)=SIGN(K45-M45), $F$5, 0)))))</f>
        <v/>
      </c>
      <c r="O45" s="118"/>
      <c r="P45" s="109"/>
      <c r="Q45" s="109" t="s">
        <v>30</v>
      </c>
      <c r="R45" s="109"/>
      <c r="S45" s="109" t="str">
        <f t="shared" ref="S45:S52" si="40">IF(OR(G45="", I45="", P45="", R45=""), "", IF(AND(G45=P45, I45=R45), $F$3, IF(G45-I45=P45-R45, $F$4, IF(AND(G45=I45, P45=R45),$F$6, IF(SIGN(G45-I45)=SIGN(P45-R45), $F$5, 0)))))</f>
        <v/>
      </c>
      <c r="T45" s="108"/>
      <c r="U45" s="110"/>
      <c r="V45" s="110" t="s">
        <v>30</v>
      </c>
      <c r="W45" s="110"/>
      <c r="X45" s="110" t="str">
        <f t="shared" ref="X45:X52" si="41">IF(OR(G45="", I45="", U45="", W45=""), "", IF(AND(G45=U45, I45=W45), $F$3, IF(G45-I45=U45-W45, $F$4, IF(AND(G45=I45, U45=W45),$F$6, IF(SIGN(G45-I45)=SIGN(U45-W45), $F$5, 0)))))</f>
        <v/>
      </c>
      <c r="Y45" s="108"/>
      <c r="Z45" s="165"/>
      <c r="AA45" s="165" t="s">
        <v>30</v>
      </c>
      <c r="AB45" s="165"/>
      <c r="AC45" s="111" t="str">
        <f t="shared" ref="AC45:AC52" si="42">IF(OR(G45="", I45="", Z45="", AB45=""), "", IF(AND(G45=Z45, I45=AB45), $F$3, IF(G45-I45=Z45-AB45, $F$4, IF(AND(G45=I45, Z45=AB45),$F$6, IF(SIGN(G45-I45)=SIGN(Z45-AB45), $F$5, 0)))))</f>
        <v/>
      </c>
      <c r="AD45" s="108"/>
      <c r="AE45" s="112"/>
      <c r="AF45" s="112" t="s">
        <v>30</v>
      </c>
      <c r="AG45" s="112"/>
      <c r="AH45" s="112" t="str">
        <f t="shared" ref="AH45:AH52" si="43">IF(OR(G45="", I45="", AE45="", AG45=""), "", IF(AND(G45=AE45, I45=AG45), $F$3, IF(G45-I45=AE45-AG45, $F$4, IF(AND(G45=I45, AE45=AG45),$F$6, IF(SIGN(G45-I45)=SIGN(AE45-AG45), $F$5, 0)))))</f>
        <v/>
      </c>
      <c r="AI45" s="108"/>
      <c r="AJ45" s="113"/>
      <c r="AK45" s="113" t="s">
        <v>30</v>
      </c>
      <c r="AL45" s="113"/>
      <c r="AM45" s="113" t="str">
        <f t="shared" ref="AM45:AM52" si="44">IF(OR(G45="", I45="", AJ45="", AL45=""), "", IF(AND(G45=AJ45, I45=AL45), $F$3, IF(G45-I45=AJ45-AL45, $F$4, IF(AND(G45=I45, AJ45=AL45),$F$6, IF(SIGN(G45-I45)=SIGN(AJ45-AL45), $F$5, 0)))))</f>
        <v/>
      </c>
      <c r="AN45" s="108"/>
      <c r="AO45" s="114"/>
      <c r="AP45" s="114" t="s">
        <v>30</v>
      </c>
      <c r="AQ45" s="114"/>
      <c r="AR45" s="114" t="str">
        <f t="shared" ref="AR45:AR52" si="45">IF(OR(G45="", I45="", AO45="", AQ45=""), "", IF(AND(G45=AO45, I45=AQ45), $F$3, IF(G45-I45=AO45-AQ45, $F$4, IF(AND(G45=I45, AO45=AQ45),$F$6, IF(SIGN(G45-I45)=SIGN(AO45-AQ45), $F$5, 0)))))</f>
        <v/>
      </c>
      <c r="AS45" s="115"/>
      <c r="AT45" s="190"/>
      <c r="AU45" s="190" t="s">
        <v>30</v>
      </c>
      <c r="AV45" s="190"/>
      <c r="AW45" s="190" t="str">
        <f t="shared" ref="AW45:AW52" si="46">IF(OR(G45="", I45="", AT45="", AV45=""), "", IF(AND(G45=AT45, I45=AV45), $F$3, IF(G45-I45=AT45-AV45, $F$4, IF(AND(G45=I45, AT45=AV45),$F$6, IF(SIGN(G45-I45)=SIGN(AT45-AV45), $F$5, 0)))))</f>
        <v/>
      </c>
      <c r="AX45" s="115"/>
      <c r="AY45" s="131"/>
      <c r="AZ45" s="131" t="s">
        <v>30</v>
      </c>
      <c r="BA45" s="131"/>
      <c r="BB45" s="131" t="str">
        <f t="shared" ref="BB45:BB52" si="47">IF(OR(G45="", I45="", AY45="", BA45=""), "", IF(AND(G45=AY45, I45=BA45), $F$3, IF(G45-I45=AY45-BA45, $F$4, IF(AND(G45=I45, AY45=BA45),$F$6, IF(SIGN(G45-I45)=SIGN(AY45-BA45), $F$5, 0)))))</f>
        <v/>
      </c>
      <c r="BC45" s="115"/>
      <c r="BD45" s="151"/>
      <c r="BE45" s="151" t="s">
        <v>30</v>
      </c>
      <c r="BF45" s="151"/>
      <c r="BG45" s="150" t="str">
        <f t="shared" ref="BG45:BG52" si="48">IF(OR(G45="", I45="", BD45="", BF45=""), "", IF(AND(G45=BD45, I45=BF45), $F$3, IF(G45-I45=BD45-BF45, $F$4, IF(AND(G45=I45, BD45=BF45),$F$6, IF(SIGN(G45-I45)=SIGN(BD45-BF45), $F$5, 0)))))</f>
        <v/>
      </c>
      <c r="BH45" s="216"/>
      <c r="BI45" s="123"/>
      <c r="BJ45" s="123" t="s">
        <v>30</v>
      </c>
      <c r="BK45" s="123"/>
      <c r="BL45" s="123" t="str">
        <f t="shared" ref="BL45:BL52" si="49">IF(OR(L45="", N45="", BI45="", BK45=""), "", IF(AND(L45=BI45, N45=BK45), $F$3, IF(L45-N45=BI45-BK45, $F$4, IF(AND(L45=N45, BI45=BK45),$F$6, IF(SIGN(L45-N45)=SIGN(BI45-BK45), $F$5, 0)))))</f>
        <v/>
      </c>
      <c r="BM45" s="216"/>
      <c r="BN45" s="217"/>
      <c r="BO45" s="217" t="s">
        <v>30</v>
      </c>
      <c r="BP45" s="217"/>
      <c r="BQ45" s="217" t="str">
        <f t="shared" ref="BQ45:BQ52" si="50">IF(OR(Q45="", S45="", BN45="", BP45=""), "", IF(AND(Q45=BN45, S45=BP45), $F$3, IF(Q45-S45=BN45-BP45, $F$4, IF(AND(Q45=S45, BN45=BP45),$F$6, IF(SIGN(Q45-S45)=SIGN(BN45-BP45), $F$5, 0)))))</f>
        <v/>
      </c>
    </row>
    <row r="46" spans="1:69" ht="39.950000000000003" customHeight="1" thickBot="1" x14ac:dyDescent="0.3">
      <c r="A46" s="26" t="s">
        <v>65</v>
      </c>
      <c r="B46" s="187">
        <v>0.70833333333333337</v>
      </c>
      <c r="C46" s="26" t="s">
        <v>45</v>
      </c>
      <c r="D46" s="26" t="s">
        <v>20</v>
      </c>
      <c r="E46" s="245"/>
      <c r="G46" s="107"/>
      <c r="H46" s="107" t="s">
        <v>30</v>
      </c>
      <c r="I46" s="107"/>
      <c r="J46" s="117"/>
      <c r="K46" s="123"/>
      <c r="L46" s="123" t="s">
        <v>30</v>
      </c>
      <c r="M46" s="123"/>
      <c r="N46" s="123" t="str">
        <f t="shared" si="39"/>
        <v/>
      </c>
      <c r="O46" s="118"/>
      <c r="P46" s="109"/>
      <c r="Q46" s="109" t="s">
        <v>30</v>
      </c>
      <c r="R46" s="109"/>
      <c r="S46" s="109" t="str">
        <f t="shared" si="40"/>
        <v/>
      </c>
      <c r="T46" s="108"/>
      <c r="U46" s="110"/>
      <c r="V46" s="110" t="s">
        <v>30</v>
      </c>
      <c r="W46" s="110"/>
      <c r="X46" s="110" t="str">
        <f t="shared" si="41"/>
        <v/>
      </c>
      <c r="Y46" s="108"/>
      <c r="Z46" s="165"/>
      <c r="AA46" s="165" t="s">
        <v>30</v>
      </c>
      <c r="AB46" s="165"/>
      <c r="AC46" s="111" t="str">
        <f t="shared" si="42"/>
        <v/>
      </c>
      <c r="AD46" s="108"/>
      <c r="AE46" s="112"/>
      <c r="AF46" s="112" t="s">
        <v>30</v>
      </c>
      <c r="AG46" s="112"/>
      <c r="AH46" s="112" t="str">
        <f t="shared" si="43"/>
        <v/>
      </c>
      <c r="AI46" s="108"/>
      <c r="AJ46" s="113"/>
      <c r="AK46" s="113" t="s">
        <v>30</v>
      </c>
      <c r="AL46" s="113"/>
      <c r="AM46" s="113" t="str">
        <f t="shared" si="44"/>
        <v/>
      </c>
      <c r="AN46" s="108"/>
      <c r="AO46" s="114"/>
      <c r="AP46" s="114" t="s">
        <v>30</v>
      </c>
      <c r="AQ46" s="114"/>
      <c r="AR46" s="114" t="str">
        <f t="shared" si="45"/>
        <v/>
      </c>
      <c r="AS46" s="115"/>
      <c r="AT46" s="190"/>
      <c r="AU46" s="190" t="s">
        <v>30</v>
      </c>
      <c r="AV46" s="190"/>
      <c r="AW46" s="190" t="str">
        <f t="shared" si="46"/>
        <v/>
      </c>
      <c r="AX46" s="115"/>
      <c r="AY46" s="131"/>
      <c r="AZ46" s="131" t="s">
        <v>30</v>
      </c>
      <c r="BA46" s="131"/>
      <c r="BB46" s="131" t="str">
        <f t="shared" si="47"/>
        <v/>
      </c>
      <c r="BC46" s="115"/>
      <c r="BD46" s="151"/>
      <c r="BE46" s="151" t="s">
        <v>30</v>
      </c>
      <c r="BF46" s="151"/>
      <c r="BG46" s="150" t="str">
        <f t="shared" si="48"/>
        <v/>
      </c>
      <c r="BH46" s="216"/>
      <c r="BI46" s="123"/>
      <c r="BJ46" s="123" t="s">
        <v>30</v>
      </c>
      <c r="BK46" s="123"/>
      <c r="BL46" s="123" t="str">
        <f t="shared" si="49"/>
        <v/>
      </c>
      <c r="BM46" s="216"/>
      <c r="BN46" s="217"/>
      <c r="BO46" s="217" t="s">
        <v>30</v>
      </c>
      <c r="BP46" s="217"/>
      <c r="BQ46" s="217" t="str">
        <f t="shared" si="50"/>
        <v/>
      </c>
    </row>
    <row r="47" spans="1:69" ht="39.950000000000003" customHeight="1" thickBot="1" x14ac:dyDescent="0.3">
      <c r="A47" s="26" t="s">
        <v>65</v>
      </c>
      <c r="B47" s="187">
        <v>0.70833333333333337</v>
      </c>
      <c r="C47" s="26" t="s">
        <v>29</v>
      </c>
      <c r="D47" s="26" t="s">
        <v>16</v>
      </c>
      <c r="E47" s="245"/>
      <c r="G47" s="107"/>
      <c r="H47" s="107" t="s">
        <v>30</v>
      </c>
      <c r="I47" s="107"/>
      <c r="J47" s="117"/>
      <c r="K47" s="123"/>
      <c r="L47" s="123" t="s">
        <v>30</v>
      </c>
      <c r="M47" s="123"/>
      <c r="N47" s="123" t="str">
        <f t="shared" si="39"/>
        <v/>
      </c>
      <c r="O47" s="118"/>
      <c r="P47" s="109"/>
      <c r="Q47" s="109" t="s">
        <v>30</v>
      </c>
      <c r="R47" s="109"/>
      <c r="S47" s="109" t="str">
        <f t="shared" si="40"/>
        <v/>
      </c>
      <c r="T47" s="108"/>
      <c r="U47" s="110"/>
      <c r="V47" s="110" t="s">
        <v>30</v>
      </c>
      <c r="W47" s="110"/>
      <c r="X47" s="110" t="str">
        <f t="shared" si="41"/>
        <v/>
      </c>
      <c r="Y47" s="108"/>
      <c r="Z47" s="165"/>
      <c r="AA47" s="165" t="s">
        <v>30</v>
      </c>
      <c r="AB47" s="165"/>
      <c r="AC47" s="111" t="str">
        <f t="shared" si="42"/>
        <v/>
      </c>
      <c r="AD47" s="108"/>
      <c r="AE47" s="112"/>
      <c r="AF47" s="112" t="s">
        <v>30</v>
      </c>
      <c r="AG47" s="112"/>
      <c r="AH47" s="112" t="str">
        <f t="shared" si="43"/>
        <v/>
      </c>
      <c r="AI47" s="108"/>
      <c r="AJ47" s="113"/>
      <c r="AK47" s="113" t="s">
        <v>30</v>
      </c>
      <c r="AL47" s="113"/>
      <c r="AM47" s="113" t="str">
        <f t="shared" si="44"/>
        <v/>
      </c>
      <c r="AN47" s="108"/>
      <c r="AO47" s="114"/>
      <c r="AP47" s="114" t="s">
        <v>30</v>
      </c>
      <c r="AQ47" s="114"/>
      <c r="AR47" s="114" t="str">
        <f t="shared" si="45"/>
        <v/>
      </c>
      <c r="AS47" s="115"/>
      <c r="AT47" s="190"/>
      <c r="AU47" s="190" t="s">
        <v>30</v>
      </c>
      <c r="AV47" s="190"/>
      <c r="AW47" s="190" t="str">
        <f t="shared" si="46"/>
        <v/>
      </c>
      <c r="AX47" s="115"/>
      <c r="AY47" s="131"/>
      <c r="AZ47" s="131" t="s">
        <v>30</v>
      </c>
      <c r="BA47" s="131"/>
      <c r="BB47" s="131" t="str">
        <f t="shared" si="47"/>
        <v/>
      </c>
      <c r="BC47" s="115"/>
      <c r="BD47" s="151"/>
      <c r="BE47" s="151" t="s">
        <v>30</v>
      </c>
      <c r="BF47" s="151"/>
      <c r="BG47" s="150" t="str">
        <f t="shared" si="48"/>
        <v/>
      </c>
      <c r="BH47" s="216"/>
      <c r="BI47" s="123"/>
      <c r="BJ47" s="123" t="s">
        <v>30</v>
      </c>
      <c r="BK47" s="123"/>
      <c r="BL47" s="123" t="str">
        <f t="shared" si="49"/>
        <v/>
      </c>
      <c r="BM47" s="216"/>
      <c r="BN47" s="217"/>
      <c r="BO47" s="217" t="s">
        <v>30</v>
      </c>
      <c r="BP47" s="217"/>
      <c r="BQ47" s="217" t="str">
        <f t="shared" si="50"/>
        <v/>
      </c>
    </row>
    <row r="48" spans="1:69" ht="39.950000000000003" customHeight="1" thickBot="1" x14ac:dyDescent="0.3">
      <c r="A48" s="26" t="s">
        <v>65</v>
      </c>
      <c r="B48" s="187">
        <v>0.83333333333333337</v>
      </c>
      <c r="C48" s="26" t="s">
        <v>22</v>
      </c>
      <c r="D48" s="26" t="s">
        <v>24</v>
      </c>
      <c r="E48" s="245"/>
      <c r="G48" s="107"/>
      <c r="H48" s="107" t="s">
        <v>30</v>
      </c>
      <c r="I48" s="107"/>
      <c r="J48" s="117"/>
      <c r="K48" s="123"/>
      <c r="L48" s="123" t="s">
        <v>30</v>
      </c>
      <c r="M48" s="123"/>
      <c r="N48" s="123" t="str">
        <f t="shared" si="39"/>
        <v/>
      </c>
      <c r="O48" s="118"/>
      <c r="P48" s="109"/>
      <c r="Q48" s="109" t="s">
        <v>30</v>
      </c>
      <c r="R48" s="109"/>
      <c r="S48" s="109" t="str">
        <f t="shared" si="40"/>
        <v/>
      </c>
      <c r="T48" s="108"/>
      <c r="U48" s="110"/>
      <c r="V48" s="110" t="s">
        <v>30</v>
      </c>
      <c r="W48" s="110"/>
      <c r="X48" s="110" t="str">
        <f t="shared" si="41"/>
        <v/>
      </c>
      <c r="Y48" s="108"/>
      <c r="Z48" s="165"/>
      <c r="AA48" s="165" t="s">
        <v>30</v>
      </c>
      <c r="AB48" s="165"/>
      <c r="AC48" s="111" t="str">
        <f t="shared" si="42"/>
        <v/>
      </c>
      <c r="AD48" s="108"/>
      <c r="AE48" s="112"/>
      <c r="AF48" s="112" t="s">
        <v>30</v>
      </c>
      <c r="AG48" s="112"/>
      <c r="AH48" s="112" t="str">
        <f t="shared" si="43"/>
        <v/>
      </c>
      <c r="AI48" s="108"/>
      <c r="AJ48" s="113"/>
      <c r="AK48" s="113" t="s">
        <v>30</v>
      </c>
      <c r="AL48" s="113"/>
      <c r="AM48" s="113" t="str">
        <f t="shared" si="44"/>
        <v/>
      </c>
      <c r="AN48" s="108"/>
      <c r="AO48" s="114"/>
      <c r="AP48" s="114" t="s">
        <v>30</v>
      </c>
      <c r="AQ48" s="114"/>
      <c r="AR48" s="114" t="str">
        <f t="shared" si="45"/>
        <v/>
      </c>
      <c r="AS48" s="115"/>
      <c r="AT48" s="190"/>
      <c r="AU48" s="190" t="s">
        <v>30</v>
      </c>
      <c r="AV48" s="190"/>
      <c r="AW48" s="190" t="str">
        <f t="shared" si="46"/>
        <v/>
      </c>
      <c r="AX48" s="115"/>
      <c r="AY48" s="131"/>
      <c r="AZ48" s="131" t="s">
        <v>30</v>
      </c>
      <c r="BA48" s="131"/>
      <c r="BB48" s="131" t="str">
        <f t="shared" si="47"/>
        <v/>
      </c>
      <c r="BC48" s="115"/>
      <c r="BD48" s="151"/>
      <c r="BE48" s="151" t="s">
        <v>30</v>
      </c>
      <c r="BF48" s="151"/>
      <c r="BG48" s="150" t="str">
        <f t="shared" si="48"/>
        <v/>
      </c>
      <c r="BH48" s="216"/>
      <c r="BI48" s="123"/>
      <c r="BJ48" s="123" t="s">
        <v>30</v>
      </c>
      <c r="BK48" s="123"/>
      <c r="BL48" s="123" t="str">
        <f t="shared" si="49"/>
        <v/>
      </c>
      <c r="BM48" s="216"/>
      <c r="BN48" s="217"/>
      <c r="BO48" s="217" t="s">
        <v>30</v>
      </c>
      <c r="BP48" s="217"/>
      <c r="BQ48" s="217" t="str">
        <f t="shared" si="50"/>
        <v/>
      </c>
    </row>
    <row r="49" spans="1:69" s="3" customFormat="1" ht="39.950000000000003" customHeight="1" thickBot="1" x14ac:dyDescent="0.3">
      <c r="A49" s="26" t="s">
        <v>66</v>
      </c>
      <c r="B49" s="187">
        <v>0.625</v>
      </c>
      <c r="C49" s="26" t="s">
        <v>19</v>
      </c>
      <c r="D49" s="26" t="s">
        <v>44</v>
      </c>
      <c r="E49" s="245"/>
      <c r="F49" s="6"/>
      <c r="G49" s="107"/>
      <c r="H49" s="107" t="s">
        <v>30</v>
      </c>
      <c r="I49" s="107"/>
      <c r="J49" s="117"/>
      <c r="K49" s="123"/>
      <c r="L49" s="123" t="s">
        <v>30</v>
      </c>
      <c r="M49" s="123"/>
      <c r="N49" s="123" t="str">
        <f t="shared" si="39"/>
        <v/>
      </c>
      <c r="O49" s="118"/>
      <c r="P49" s="109"/>
      <c r="Q49" s="109" t="s">
        <v>30</v>
      </c>
      <c r="R49" s="109"/>
      <c r="S49" s="109" t="str">
        <f t="shared" si="40"/>
        <v/>
      </c>
      <c r="T49" s="108"/>
      <c r="U49" s="110"/>
      <c r="V49" s="110" t="s">
        <v>30</v>
      </c>
      <c r="W49" s="110"/>
      <c r="X49" s="110" t="str">
        <f t="shared" si="41"/>
        <v/>
      </c>
      <c r="Y49" s="108"/>
      <c r="Z49" s="165"/>
      <c r="AA49" s="165" t="s">
        <v>30</v>
      </c>
      <c r="AB49" s="165"/>
      <c r="AC49" s="111" t="str">
        <f t="shared" si="42"/>
        <v/>
      </c>
      <c r="AD49" s="108"/>
      <c r="AE49" s="112"/>
      <c r="AF49" s="112" t="s">
        <v>30</v>
      </c>
      <c r="AG49" s="112"/>
      <c r="AH49" s="112" t="str">
        <f t="shared" si="43"/>
        <v/>
      </c>
      <c r="AI49" s="108"/>
      <c r="AJ49" s="113"/>
      <c r="AK49" s="113" t="s">
        <v>30</v>
      </c>
      <c r="AL49" s="113"/>
      <c r="AM49" s="113" t="str">
        <f t="shared" si="44"/>
        <v/>
      </c>
      <c r="AN49" s="108"/>
      <c r="AO49" s="114"/>
      <c r="AP49" s="114" t="s">
        <v>30</v>
      </c>
      <c r="AQ49" s="114"/>
      <c r="AR49" s="114" t="str">
        <f t="shared" si="45"/>
        <v/>
      </c>
      <c r="AS49" s="115"/>
      <c r="AT49" s="190"/>
      <c r="AU49" s="190" t="s">
        <v>30</v>
      </c>
      <c r="AV49" s="190"/>
      <c r="AW49" s="190" t="str">
        <f t="shared" si="46"/>
        <v/>
      </c>
      <c r="AX49" s="115"/>
      <c r="AY49" s="131"/>
      <c r="AZ49" s="131" t="s">
        <v>30</v>
      </c>
      <c r="BA49" s="131"/>
      <c r="BB49" s="131" t="str">
        <f t="shared" si="47"/>
        <v/>
      </c>
      <c r="BC49" s="115"/>
      <c r="BD49" s="151"/>
      <c r="BE49" s="151" t="s">
        <v>30</v>
      </c>
      <c r="BF49" s="151"/>
      <c r="BG49" s="150" t="str">
        <f t="shared" si="48"/>
        <v/>
      </c>
      <c r="BH49" s="216"/>
      <c r="BI49" s="123"/>
      <c r="BJ49" s="123" t="s">
        <v>30</v>
      </c>
      <c r="BK49" s="123"/>
      <c r="BL49" s="123" t="str">
        <f t="shared" si="49"/>
        <v/>
      </c>
      <c r="BM49" s="216"/>
      <c r="BN49" s="217"/>
      <c r="BO49" s="217" t="s">
        <v>30</v>
      </c>
      <c r="BP49" s="217"/>
      <c r="BQ49" s="217" t="str">
        <f t="shared" si="50"/>
        <v/>
      </c>
    </row>
    <row r="50" spans="1:69" ht="39.950000000000003" customHeight="1" thickBot="1" x14ac:dyDescent="0.3">
      <c r="A50" s="26" t="s">
        <v>66</v>
      </c>
      <c r="B50" s="187">
        <v>0.70833333333333337</v>
      </c>
      <c r="C50" s="26" t="s">
        <v>46</v>
      </c>
      <c r="D50" s="26" t="s">
        <v>15</v>
      </c>
      <c r="E50" s="245"/>
      <c r="G50" s="107"/>
      <c r="H50" s="107" t="s">
        <v>30</v>
      </c>
      <c r="I50" s="107"/>
      <c r="J50" s="117"/>
      <c r="K50" s="123"/>
      <c r="L50" s="123" t="s">
        <v>30</v>
      </c>
      <c r="M50" s="123"/>
      <c r="N50" s="123" t="str">
        <f t="shared" si="39"/>
        <v/>
      </c>
      <c r="O50" s="118"/>
      <c r="P50" s="109"/>
      <c r="Q50" s="109" t="s">
        <v>30</v>
      </c>
      <c r="R50" s="109"/>
      <c r="S50" s="109" t="str">
        <f t="shared" si="40"/>
        <v/>
      </c>
      <c r="T50" s="108"/>
      <c r="U50" s="110"/>
      <c r="V50" s="110" t="s">
        <v>30</v>
      </c>
      <c r="W50" s="110"/>
      <c r="X50" s="110" t="str">
        <f t="shared" si="41"/>
        <v/>
      </c>
      <c r="Y50" s="108"/>
      <c r="Z50" s="165"/>
      <c r="AA50" s="165" t="s">
        <v>30</v>
      </c>
      <c r="AB50" s="165"/>
      <c r="AC50" s="111" t="str">
        <f t="shared" si="42"/>
        <v/>
      </c>
      <c r="AD50" s="108"/>
      <c r="AE50" s="112"/>
      <c r="AF50" s="112" t="s">
        <v>30</v>
      </c>
      <c r="AG50" s="112"/>
      <c r="AH50" s="112" t="str">
        <f t="shared" si="43"/>
        <v/>
      </c>
      <c r="AI50" s="108"/>
      <c r="AJ50" s="113"/>
      <c r="AK50" s="113" t="s">
        <v>30</v>
      </c>
      <c r="AL50" s="113"/>
      <c r="AM50" s="113" t="str">
        <f t="shared" si="44"/>
        <v/>
      </c>
      <c r="AN50" s="108"/>
      <c r="AO50" s="114"/>
      <c r="AP50" s="114" t="s">
        <v>30</v>
      </c>
      <c r="AQ50" s="114"/>
      <c r="AR50" s="114" t="str">
        <f t="shared" si="45"/>
        <v/>
      </c>
      <c r="AS50" s="115"/>
      <c r="AT50" s="190"/>
      <c r="AU50" s="190" t="s">
        <v>30</v>
      </c>
      <c r="AV50" s="190"/>
      <c r="AW50" s="190" t="str">
        <f t="shared" si="46"/>
        <v/>
      </c>
      <c r="AX50" s="115"/>
      <c r="AY50" s="131"/>
      <c r="AZ50" s="131" t="s">
        <v>30</v>
      </c>
      <c r="BA50" s="131"/>
      <c r="BB50" s="131" t="str">
        <f t="shared" si="47"/>
        <v/>
      </c>
      <c r="BC50" s="115"/>
      <c r="BD50" s="151"/>
      <c r="BE50" s="151" t="s">
        <v>30</v>
      </c>
      <c r="BF50" s="151"/>
      <c r="BG50" s="150" t="str">
        <f t="shared" si="48"/>
        <v/>
      </c>
      <c r="BH50" s="216"/>
      <c r="BI50" s="123"/>
      <c r="BJ50" s="123" t="s">
        <v>30</v>
      </c>
      <c r="BK50" s="123"/>
      <c r="BL50" s="123" t="str">
        <f t="shared" si="49"/>
        <v/>
      </c>
      <c r="BM50" s="216"/>
      <c r="BN50" s="217"/>
      <c r="BO50" s="217" t="s">
        <v>30</v>
      </c>
      <c r="BP50" s="217"/>
      <c r="BQ50" s="217" t="str">
        <f t="shared" si="50"/>
        <v/>
      </c>
    </row>
    <row r="51" spans="1:69" ht="39.950000000000003" customHeight="1" thickBot="1" x14ac:dyDescent="0.3">
      <c r="A51" s="26" t="s">
        <v>66</v>
      </c>
      <c r="B51" s="187">
        <v>0.70833333333333337</v>
      </c>
      <c r="C51" s="26" t="s">
        <v>21</v>
      </c>
      <c r="D51" s="26" t="s">
        <v>37</v>
      </c>
      <c r="E51" s="245"/>
      <c r="G51" s="107"/>
      <c r="H51" s="107" t="s">
        <v>30</v>
      </c>
      <c r="I51" s="107"/>
      <c r="J51" s="117"/>
      <c r="K51" s="123"/>
      <c r="L51" s="123" t="s">
        <v>30</v>
      </c>
      <c r="M51" s="123"/>
      <c r="N51" s="123" t="str">
        <f t="shared" si="39"/>
        <v/>
      </c>
      <c r="O51" s="118"/>
      <c r="P51" s="109"/>
      <c r="Q51" s="109" t="s">
        <v>30</v>
      </c>
      <c r="R51" s="109"/>
      <c r="S51" s="109" t="str">
        <f t="shared" si="40"/>
        <v/>
      </c>
      <c r="T51" s="108"/>
      <c r="U51" s="110"/>
      <c r="V51" s="110" t="s">
        <v>30</v>
      </c>
      <c r="W51" s="110"/>
      <c r="X51" s="110" t="str">
        <f t="shared" si="41"/>
        <v/>
      </c>
      <c r="Y51" s="108"/>
      <c r="Z51" s="165"/>
      <c r="AA51" s="165" t="s">
        <v>30</v>
      </c>
      <c r="AB51" s="165"/>
      <c r="AC51" s="111" t="str">
        <f t="shared" si="42"/>
        <v/>
      </c>
      <c r="AD51" s="108"/>
      <c r="AE51" s="112"/>
      <c r="AF51" s="112" t="s">
        <v>30</v>
      </c>
      <c r="AG51" s="112"/>
      <c r="AH51" s="112" t="str">
        <f t="shared" si="43"/>
        <v/>
      </c>
      <c r="AI51" s="108"/>
      <c r="AJ51" s="113"/>
      <c r="AK51" s="113" t="s">
        <v>30</v>
      </c>
      <c r="AL51" s="113"/>
      <c r="AM51" s="113" t="str">
        <f t="shared" si="44"/>
        <v/>
      </c>
      <c r="AN51" s="108"/>
      <c r="AO51" s="114"/>
      <c r="AP51" s="114" t="s">
        <v>30</v>
      </c>
      <c r="AQ51" s="114"/>
      <c r="AR51" s="114" t="str">
        <f t="shared" si="45"/>
        <v/>
      </c>
      <c r="AS51" s="115"/>
      <c r="AT51" s="190"/>
      <c r="AU51" s="190" t="s">
        <v>30</v>
      </c>
      <c r="AV51" s="190"/>
      <c r="AW51" s="190" t="str">
        <f t="shared" si="46"/>
        <v/>
      </c>
      <c r="AX51" s="115"/>
      <c r="AY51" s="131"/>
      <c r="AZ51" s="131" t="s">
        <v>30</v>
      </c>
      <c r="BA51" s="131"/>
      <c r="BB51" s="131" t="str">
        <f t="shared" si="47"/>
        <v/>
      </c>
      <c r="BC51" s="115"/>
      <c r="BD51" s="151"/>
      <c r="BE51" s="151" t="s">
        <v>30</v>
      </c>
      <c r="BF51" s="151"/>
      <c r="BG51" s="150" t="str">
        <f t="shared" si="48"/>
        <v/>
      </c>
      <c r="BH51" s="216"/>
      <c r="BI51" s="123"/>
      <c r="BJ51" s="123" t="s">
        <v>30</v>
      </c>
      <c r="BK51" s="123"/>
      <c r="BL51" s="123" t="str">
        <f t="shared" si="49"/>
        <v/>
      </c>
      <c r="BM51" s="216"/>
      <c r="BN51" s="217"/>
      <c r="BO51" s="217" t="s">
        <v>30</v>
      </c>
      <c r="BP51" s="217"/>
      <c r="BQ51" s="217" t="str">
        <f t="shared" si="50"/>
        <v/>
      </c>
    </row>
    <row r="52" spans="1:69" ht="39.950000000000003" customHeight="1" thickBot="1" x14ac:dyDescent="0.3">
      <c r="A52" s="26" t="s">
        <v>66</v>
      </c>
      <c r="B52" s="187">
        <v>0.83333333333333337</v>
      </c>
      <c r="C52" s="26" t="s">
        <v>17</v>
      </c>
      <c r="D52" s="26" t="s">
        <v>18</v>
      </c>
      <c r="E52" s="246"/>
      <c r="G52" s="107"/>
      <c r="H52" s="107" t="s">
        <v>30</v>
      </c>
      <c r="I52" s="107"/>
      <c r="J52" s="117"/>
      <c r="K52" s="123"/>
      <c r="L52" s="123" t="s">
        <v>30</v>
      </c>
      <c r="M52" s="123"/>
      <c r="N52" s="123" t="str">
        <f t="shared" si="39"/>
        <v/>
      </c>
      <c r="O52" s="118"/>
      <c r="P52" s="109"/>
      <c r="Q52" s="109" t="s">
        <v>30</v>
      </c>
      <c r="R52" s="109"/>
      <c r="S52" s="109" t="str">
        <f t="shared" si="40"/>
        <v/>
      </c>
      <c r="T52" s="108"/>
      <c r="U52" s="110"/>
      <c r="V52" s="110" t="s">
        <v>30</v>
      </c>
      <c r="W52" s="110"/>
      <c r="X52" s="110" t="str">
        <f t="shared" si="41"/>
        <v/>
      </c>
      <c r="Y52" s="108"/>
      <c r="Z52" s="165"/>
      <c r="AA52" s="165" t="s">
        <v>30</v>
      </c>
      <c r="AB52" s="165"/>
      <c r="AC52" s="111" t="str">
        <f t="shared" si="42"/>
        <v/>
      </c>
      <c r="AD52" s="108"/>
      <c r="AE52" s="112"/>
      <c r="AF52" s="112" t="s">
        <v>30</v>
      </c>
      <c r="AG52" s="112"/>
      <c r="AH52" s="112" t="str">
        <f t="shared" si="43"/>
        <v/>
      </c>
      <c r="AI52" s="108"/>
      <c r="AJ52" s="113"/>
      <c r="AK52" s="113" t="s">
        <v>30</v>
      </c>
      <c r="AL52" s="113"/>
      <c r="AM52" s="113" t="str">
        <f t="shared" si="44"/>
        <v/>
      </c>
      <c r="AN52" s="108"/>
      <c r="AO52" s="114"/>
      <c r="AP52" s="114" t="s">
        <v>30</v>
      </c>
      <c r="AQ52" s="114"/>
      <c r="AR52" s="114" t="str">
        <f t="shared" si="45"/>
        <v/>
      </c>
      <c r="AS52" s="115"/>
      <c r="AT52" s="190"/>
      <c r="AU52" s="190" t="s">
        <v>30</v>
      </c>
      <c r="AV52" s="190"/>
      <c r="AW52" s="190" t="str">
        <f t="shared" si="46"/>
        <v/>
      </c>
      <c r="AX52" s="115"/>
      <c r="AY52" s="131"/>
      <c r="AZ52" s="131" t="s">
        <v>30</v>
      </c>
      <c r="BA52" s="131"/>
      <c r="BB52" s="131" t="str">
        <f t="shared" si="47"/>
        <v/>
      </c>
      <c r="BC52" s="115"/>
      <c r="BD52" s="151"/>
      <c r="BE52" s="151" t="s">
        <v>30</v>
      </c>
      <c r="BF52" s="151"/>
      <c r="BG52" s="150" t="str">
        <f t="shared" si="48"/>
        <v/>
      </c>
      <c r="BH52" s="216"/>
      <c r="BI52" s="123"/>
      <c r="BJ52" s="123" t="s">
        <v>30</v>
      </c>
      <c r="BK52" s="123"/>
      <c r="BL52" s="123" t="str">
        <f t="shared" si="49"/>
        <v/>
      </c>
      <c r="BM52" s="216"/>
      <c r="BN52" s="217"/>
      <c r="BO52" s="217" t="s">
        <v>30</v>
      </c>
      <c r="BP52" s="217"/>
      <c r="BQ52" s="217" t="str">
        <f t="shared" si="50"/>
        <v/>
      </c>
    </row>
    <row r="53" spans="1:69" s="11" customFormat="1" x14ac:dyDescent="0.25">
      <c r="A53"/>
      <c r="B53"/>
      <c r="C53"/>
      <c r="D53"/>
      <c r="E53"/>
      <c r="F53" s="5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66"/>
      <c r="AA53" s="166"/>
      <c r="AB53" s="16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218"/>
      <c r="BI53" s="218"/>
      <c r="BJ53" s="218"/>
      <c r="BK53" s="218"/>
      <c r="BL53" s="218"/>
      <c r="BM53" s="218"/>
      <c r="BN53" s="218"/>
      <c r="BO53" s="218"/>
      <c r="BP53" s="218"/>
      <c r="BQ53" s="218"/>
    </row>
    <row r="54" spans="1:69" x14ac:dyDescent="0.45">
      <c r="G54" s="27"/>
      <c r="H54" s="27"/>
      <c r="K54" s="27"/>
      <c r="L54" s="27"/>
      <c r="P54" s="27"/>
      <c r="Q54" s="27"/>
      <c r="U54" s="27"/>
      <c r="V54" s="27"/>
      <c r="Z54" s="167"/>
      <c r="AA54" s="167"/>
      <c r="AE54" s="27"/>
      <c r="AF54" s="27"/>
      <c r="AJ54" s="27"/>
      <c r="AK54" s="27"/>
      <c r="AO54" s="27"/>
      <c r="AP54" s="27"/>
      <c r="AT54" s="27"/>
      <c r="AU54" s="27"/>
      <c r="AY54" s="27"/>
      <c r="AZ54" s="27"/>
      <c r="BD54" s="27"/>
      <c r="BE54" s="27"/>
      <c r="BI54" s="220"/>
      <c r="BJ54" s="220"/>
      <c r="BN54" s="220"/>
      <c r="BO54" s="220"/>
    </row>
    <row r="55" spans="1:69" x14ac:dyDescent="0.45">
      <c r="G55" s="27"/>
      <c r="H55" s="27"/>
      <c r="K55" s="27"/>
      <c r="L55" s="27"/>
      <c r="P55" s="27"/>
      <c r="Q55" s="27"/>
      <c r="U55" s="27"/>
      <c r="V55" s="27"/>
      <c r="Z55" s="167"/>
      <c r="AA55" s="167"/>
      <c r="AE55" s="27"/>
      <c r="AF55" s="27"/>
      <c r="AJ55" s="27"/>
      <c r="AK55" s="27"/>
      <c r="AO55" s="27"/>
      <c r="AP55" s="27"/>
      <c r="AT55" s="27"/>
      <c r="AU55" s="27"/>
      <c r="AY55" s="27"/>
      <c r="AZ55" s="27"/>
      <c r="BD55" s="27"/>
      <c r="BE55" s="27"/>
      <c r="BI55" s="220"/>
      <c r="BJ55" s="220"/>
      <c r="BN55" s="220"/>
      <c r="BO55" s="220"/>
    </row>
    <row r="56" spans="1:69" x14ac:dyDescent="0.45">
      <c r="G56" s="27"/>
      <c r="H56" s="27"/>
      <c r="K56" s="27"/>
      <c r="L56" s="27"/>
      <c r="P56" s="27"/>
      <c r="Q56" s="27"/>
      <c r="U56" s="27"/>
      <c r="V56" s="27"/>
      <c r="Z56" s="167"/>
      <c r="AA56" s="167"/>
      <c r="AE56" s="27"/>
      <c r="AF56" s="27"/>
      <c r="AJ56" s="27"/>
      <c r="AK56" s="27"/>
      <c r="AO56" s="27"/>
      <c r="AP56" s="27"/>
      <c r="AT56" s="27"/>
      <c r="AU56" s="27"/>
      <c r="AY56" s="27"/>
      <c r="AZ56" s="27"/>
      <c r="BD56" s="27"/>
      <c r="BE56" s="27"/>
      <c r="BI56" s="220"/>
      <c r="BJ56" s="220"/>
      <c r="BN56" s="220"/>
      <c r="BO56" s="220"/>
    </row>
    <row r="57" spans="1:69" x14ac:dyDescent="0.45">
      <c r="G57" s="27"/>
      <c r="H57" s="27"/>
      <c r="K57" s="27"/>
      <c r="L57" s="27"/>
      <c r="P57" s="27"/>
      <c r="Q57" s="27"/>
      <c r="U57" s="27"/>
      <c r="V57" s="27"/>
      <c r="Z57" s="167"/>
      <c r="AA57" s="167"/>
      <c r="AE57" s="27"/>
      <c r="AF57" s="27"/>
      <c r="AJ57" s="27"/>
      <c r="AK57" s="27"/>
      <c r="AO57" s="27"/>
      <c r="AP57" s="27"/>
      <c r="AT57" s="27"/>
      <c r="AU57" s="27"/>
      <c r="AY57" s="27"/>
      <c r="AZ57" s="27"/>
      <c r="BD57" s="27"/>
      <c r="BE57" s="27"/>
      <c r="BI57" s="220"/>
      <c r="BJ57" s="220"/>
      <c r="BN57" s="220"/>
      <c r="BO57" s="220"/>
    </row>
    <row r="58" spans="1:69" x14ac:dyDescent="0.45">
      <c r="G58" s="27"/>
      <c r="H58" s="27"/>
      <c r="K58" s="27"/>
      <c r="L58" s="27"/>
      <c r="P58" s="27"/>
      <c r="Q58" s="27"/>
      <c r="U58" s="27"/>
      <c r="V58" s="27"/>
      <c r="Z58" s="167"/>
      <c r="AA58" s="167"/>
      <c r="AE58" s="27"/>
      <c r="AF58" s="27"/>
      <c r="AJ58" s="27"/>
      <c r="AK58" s="27"/>
      <c r="AO58" s="27"/>
      <c r="AP58" s="27"/>
      <c r="AT58" s="27"/>
      <c r="AU58" s="27"/>
      <c r="AY58" s="27"/>
      <c r="AZ58" s="27"/>
      <c r="BD58" s="27"/>
      <c r="BE58" s="27"/>
      <c r="BI58" s="220"/>
      <c r="BJ58" s="220"/>
      <c r="BN58" s="220"/>
      <c r="BO58" s="220"/>
    </row>
    <row r="59" spans="1:69" x14ac:dyDescent="0.45">
      <c r="G59" s="27"/>
      <c r="H59" s="27"/>
      <c r="K59" s="27"/>
      <c r="L59" s="27"/>
      <c r="P59" s="27"/>
      <c r="Q59" s="27"/>
      <c r="U59" s="27"/>
      <c r="V59" s="27"/>
      <c r="Z59" s="167"/>
      <c r="AA59" s="167"/>
      <c r="AE59" s="27"/>
      <c r="AF59" s="27"/>
      <c r="AJ59" s="27"/>
      <c r="AK59" s="27"/>
      <c r="AO59" s="27"/>
      <c r="AP59" s="27"/>
      <c r="AT59" s="27"/>
      <c r="AU59" s="27"/>
      <c r="AY59" s="27"/>
      <c r="AZ59" s="27"/>
      <c r="BD59" s="27"/>
      <c r="BE59" s="27"/>
      <c r="BI59" s="220"/>
      <c r="BJ59" s="220"/>
      <c r="BN59" s="220"/>
      <c r="BO59" s="220"/>
    </row>
    <row r="60" spans="1:69" x14ac:dyDescent="0.45">
      <c r="G60" s="27"/>
      <c r="H60" s="27"/>
      <c r="K60" s="27"/>
      <c r="L60" s="27"/>
      <c r="P60" s="27"/>
      <c r="Q60" s="27"/>
      <c r="U60" s="27"/>
      <c r="V60" s="27"/>
      <c r="Z60" s="167"/>
      <c r="AA60" s="167"/>
      <c r="AE60" s="27"/>
      <c r="AF60" s="27"/>
      <c r="AJ60" s="27"/>
      <c r="AK60" s="27"/>
      <c r="AO60" s="27"/>
      <c r="AP60" s="27"/>
      <c r="AT60" s="27"/>
      <c r="AU60" s="27"/>
      <c r="AY60" s="27"/>
      <c r="AZ60" s="27"/>
      <c r="BD60" s="27"/>
      <c r="BE60" s="27"/>
      <c r="BI60" s="220"/>
      <c r="BJ60" s="220"/>
      <c r="BN60" s="220"/>
      <c r="BO60" s="220"/>
    </row>
    <row r="61" spans="1:69" x14ac:dyDescent="0.45">
      <c r="G61" s="27"/>
      <c r="H61" s="27"/>
      <c r="K61" s="27"/>
      <c r="L61" s="27"/>
      <c r="P61" s="27"/>
      <c r="Q61" s="27"/>
      <c r="U61" s="27"/>
      <c r="V61" s="27"/>
      <c r="Z61" s="167"/>
      <c r="AA61" s="167"/>
      <c r="AE61" s="27"/>
      <c r="AF61" s="27"/>
      <c r="AJ61" s="27"/>
      <c r="AK61" s="27"/>
      <c r="AO61" s="27"/>
      <c r="AP61" s="27"/>
      <c r="AT61" s="27"/>
      <c r="AU61" s="27"/>
      <c r="AY61" s="27"/>
      <c r="AZ61" s="27"/>
      <c r="BD61" s="27"/>
      <c r="BE61" s="27"/>
      <c r="BI61" s="220"/>
      <c r="BJ61" s="220"/>
      <c r="BN61" s="220"/>
      <c r="BO61" s="220"/>
    </row>
    <row r="62" spans="1:69" x14ac:dyDescent="0.45">
      <c r="G62" s="27"/>
      <c r="H62" s="27"/>
      <c r="K62" s="27"/>
      <c r="L62" s="27"/>
      <c r="P62" s="27"/>
      <c r="Q62" s="27"/>
      <c r="U62" s="27"/>
      <c r="V62" s="27"/>
      <c r="Z62" s="167"/>
      <c r="AA62" s="167"/>
      <c r="AE62" s="27"/>
      <c r="AF62" s="27"/>
      <c r="AJ62" s="27"/>
      <c r="AK62" s="27"/>
      <c r="AO62" s="27"/>
      <c r="AP62" s="27"/>
      <c r="AT62" s="27"/>
      <c r="AU62" s="27"/>
      <c r="AY62" s="27"/>
      <c r="AZ62" s="27"/>
      <c r="BD62" s="27"/>
      <c r="BE62" s="27"/>
      <c r="BI62" s="220"/>
      <c r="BJ62" s="220"/>
      <c r="BN62" s="220"/>
      <c r="BO62" s="220"/>
    </row>
    <row r="63" spans="1:69" x14ac:dyDescent="0.45">
      <c r="G63" s="27"/>
      <c r="H63" s="27"/>
      <c r="K63" s="27"/>
      <c r="L63" s="27"/>
      <c r="P63" s="27"/>
      <c r="Q63" s="27"/>
      <c r="U63" s="27"/>
      <c r="V63" s="27"/>
      <c r="Z63" s="167"/>
      <c r="AA63" s="167"/>
      <c r="AE63" s="27"/>
      <c r="AF63" s="27"/>
      <c r="AJ63" s="27"/>
      <c r="AK63" s="27"/>
      <c r="AO63" s="27"/>
      <c r="AP63" s="27"/>
      <c r="AT63" s="27"/>
      <c r="AU63" s="27"/>
      <c r="AY63" s="27"/>
      <c r="AZ63" s="27"/>
      <c r="BD63" s="27"/>
      <c r="BE63" s="27"/>
      <c r="BI63" s="220"/>
      <c r="BJ63" s="220"/>
      <c r="BN63" s="220"/>
      <c r="BO63" s="220"/>
    </row>
    <row r="64" spans="1:69" x14ac:dyDescent="0.45">
      <c r="G64" s="27"/>
      <c r="H64" s="27"/>
      <c r="K64" s="27"/>
      <c r="L64" s="27"/>
      <c r="P64" s="27"/>
      <c r="Q64" s="27"/>
      <c r="U64" s="27"/>
      <c r="V64" s="27"/>
      <c r="Z64" s="167"/>
      <c r="AA64" s="167"/>
      <c r="AE64" s="27"/>
      <c r="AF64" s="27"/>
      <c r="AJ64" s="27"/>
      <c r="AK64" s="27"/>
      <c r="AO64" s="27"/>
      <c r="AP64" s="27"/>
      <c r="AT64" s="27"/>
      <c r="AU64" s="27"/>
      <c r="AY64" s="27"/>
      <c r="AZ64" s="27"/>
      <c r="BD64" s="27"/>
      <c r="BE64" s="27"/>
      <c r="BI64" s="220"/>
      <c r="BJ64" s="220"/>
      <c r="BN64" s="220"/>
      <c r="BO64" s="220"/>
    </row>
    <row r="65" spans="7:67" x14ac:dyDescent="0.45">
      <c r="G65" s="27"/>
      <c r="H65" s="27"/>
      <c r="K65" s="27"/>
      <c r="L65" s="27"/>
      <c r="P65" s="27"/>
      <c r="Q65" s="27"/>
      <c r="U65" s="27"/>
      <c r="V65" s="27"/>
      <c r="Z65" s="167"/>
      <c r="AA65" s="167"/>
      <c r="AE65" s="27"/>
      <c r="AF65" s="27"/>
      <c r="AJ65" s="27"/>
      <c r="AK65" s="27"/>
      <c r="AO65" s="27"/>
      <c r="AP65" s="27"/>
      <c r="AT65" s="27"/>
      <c r="AU65" s="27"/>
      <c r="AY65" s="27"/>
      <c r="AZ65" s="27"/>
      <c r="BD65" s="27"/>
      <c r="BE65" s="27"/>
      <c r="BI65" s="220"/>
      <c r="BJ65" s="220"/>
      <c r="BN65" s="220"/>
      <c r="BO65" s="220"/>
    </row>
    <row r="66" spans="7:67" x14ac:dyDescent="0.45">
      <c r="G66" s="27"/>
      <c r="H66" s="27"/>
      <c r="K66" s="27"/>
      <c r="L66" s="27"/>
      <c r="P66" s="27"/>
      <c r="Q66" s="27"/>
      <c r="U66" s="27"/>
      <c r="V66" s="27"/>
      <c r="Z66" s="167"/>
      <c r="AA66" s="167"/>
      <c r="AE66" s="27"/>
      <c r="AF66" s="27"/>
      <c r="AJ66" s="27"/>
      <c r="AK66" s="27"/>
      <c r="AO66" s="27"/>
      <c r="AP66" s="27"/>
      <c r="AT66" s="27"/>
      <c r="AU66" s="27"/>
      <c r="AY66" s="27"/>
      <c r="AZ66" s="27"/>
      <c r="BD66" s="27"/>
      <c r="BE66" s="27"/>
      <c r="BI66" s="220"/>
      <c r="BJ66" s="220"/>
      <c r="BN66" s="220"/>
      <c r="BO66" s="220"/>
    </row>
    <row r="67" spans="7:67" x14ac:dyDescent="0.45">
      <c r="G67" s="27"/>
      <c r="H67" s="27"/>
      <c r="K67" s="27"/>
      <c r="L67" s="27"/>
      <c r="P67" s="27"/>
      <c r="Q67" s="27"/>
      <c r="U67" s="27"/>
      <c r="V67" s="27"/>
      <c r="Z67" s="167"/>
      <c r="AA67" s="167"/>
      <c r="AE67" s="27"/>
      <c r="AF67" s="27"/>
      <c r="AJ67" s="27"/>
      <c r="AK67" s="27"/>
      <c r="AO67" s="27"/>
      <c r="AP67" s="27"/>
      <c r="AT67" s="27"/>
      <c r="AU67" s="27"/>
      <c r="AY67" s="27"/>
      <c r="AZ67" s="27"/>
      <c r="BD67" s="27"/>
      <c r="BE67" s="27"/>
      <c r="BI67" s="220"/>
      <c r="BJ67" s="220"/>
      <c r="BN67" s="220"/>
      <c r="BO67" s="220"/>
    </row>
    <row r="68" spans="7:67" x14ac:dyDescent="0.45">
      <c r="G68" s="27"/>
      <c r="H68" s="27"/>
      <c r="K68" s="27"/>
      <c r="L68" s="27"/>
      <c r="P68" s="27"/>
      <c r="Q68" s="27"/>
      <c r="U68" s="27"/>
      <c r="V68" s="27"/>
      <c r="Z68" s="167"/>
      <c r="AA68" s="167"/>
      <c r="AE68" s="27"/>
      <c r="AF68" s="27"/>
      <c r="AJ68" s="27"/>
      <c r="AK68" s="27"/>
      <c r="AO68" s="27"/>
      <c r="AP68" s="27"/>
      <c r="AT68" s="27"/>
      <c r="AU68" s="27"/>
      <c r="AY68" s="27"/>
      <c r="AZ68" s="27"/>
      <c r="BD68" s="27"/>
      <c r="BE68" s="27"/>
      <c r="BI68" s="220"/>
      <c r="BJ68" s="220"/>
      <c r="BN68" s="220"/>
      <c r="BO68" s="220"/>
    </row>
    <row r="69" spans="7:67" x14ac:dyDescent="0.45">
      <c r="G69" s="27"/>
      <c r="H69" s="27"/>
      <c r="K69" s="27"/>
      <c r="L69" s="27"/>
      <c r="P69" s="27"/>
      <c r="Q69" s="27"/>
      <c r="U69" s="27"/>
      <c r="V69" s="27"/>
      <c r="Z69" s="167"/>
      <c r="AA69" s="167"/>
      <c r="AE69" s="27"/>
      <c r="AF69" s="27"/>
      <c r="AJ69" s="27"/>
      <c r="AK69" s="27"/>
      <c r="AO69" s="27"/>
      <c r="AP69" s="27"/>
      <c r="AT69" s="27"/>
      <c r="AU69" s="27"/>
      <c r="AY69" s="27"/>
      <c r="AZ69" s="27"/>
      <c r="BD69" s="27"/>
      <c r="BE69" s="27"/>
      <c r="BI69" s="220"/>
      <c r="BJ69" s="220"/>
      <c r="BN69" s="220"/>
      <c r="BO69" s="220"/>
    </row>
    <row r="70" spans="7:67" x14ac:dyDescent="0.45">
      <c r="G70" s="27"/>
      <c r="H70" s="27"/>
      <c r="K70" s="27"/>
      <c r="L70" s="27"/>
      <c r="P70" s="27"/>
      <c r="Q70" s="27"/>
      <c r="U70" s="27"/>
      <c r="V70" s="27"/>
      <c r="Z70" s="167"/>
      <c r="AA70" s="167"/>
      <c r="AE70" s="27"/>
      <c r="AF70" s="27"/>
      <c r="AJ70" s="27"/>
      <c r="AK70" s="27"/>
      <c r="AO70" s="27"/>
      <c r="AP70" s="27"/>
      <c r="AT70" s="27"/>
      <c r="AU70" s="27"/>
      <c r="AY70" s="27"/>
      <c r="AZ70" s="27"/>
      <c r="BD70" s="27"/>
      <c r="BE70" s="27"/>
      <c r="BI70" s="220"/>
      <c r="BJ70" s="220"/>
      <c r="BN70" s="220"/>
      <c r="BO70" s="220"/>
    </row>
    <row r="71" spans="7:67" x14ac:dyDescent="0.45">
      <c r="G71" s="27"/>
      <c r="H71" s="27"/>
      <c r="K71" s="27"/>
      <c r="L71" s="27"/>
      <c r="P71" s="27"/>
      <c r="Q71" s="27"/>
      <c r="U71" s="27"/>
      <c r="V71" s="27"/>
      <c r="Z71" s="167"/>
      <c r="AA71" s="167"/>
      <c r="AE71" s="27"/>
      <c r="AF71" s="27"/>
      <c r="AJ71" s="27"/>
      <c r="AK71" s="27"/>
      <c r="AO71" s="27"/>
      <c r="AP71" s="27"/>
      <c r="AT71" s="27"/>
      <c r="AU71" s="27"/>
      <c r="AY71" s="27"/>
      <c r="AZ71" s="27"/>
      <c r="BD71" s="27"/>
      <c r="BE71" s="27"/>
      <c r="BI71" s="220"/>
      <c r="BJ71" s="220"/>
      <c r="BN71" s="220"/>
      <c r="BO71" s="220"/>
    </row>
    <row r="72" spans="7:67" x14ac:dyDescent="0.45">
      <c r="G72" s="27"/>
      <c r="H72" s="27"/>
      <c r="K72" s="27"/>
      <c r="L72" s="27"/>
      <c r="P72" s="27"/>
      <c r="Q72" s="27"/>
      <c r="U72" s="27"/>
      <c r="V72" s="27"/>
      <c r="Z72" s="167"/>
      <c r="AA72" s="167"/>
      <c r="AE72" s="27"/>
      <c r="AF72" s="27"/>
      <c r="AJ72" s="27"/>
      <c r="AK72" s="27"/>
      <c r="AO72" s="27"/>
      <c r="AP72" s="27"/>
      <c r="AT72" s="27"/>
      <c r="AU72" s="27"/>
      <c r="AY72" s="27"/>
      <c r="AZ72" s="27"/>
      <c r="BD72" s="27"/>
      <c r="BE72" s="27"/>
      <c r="BI72" s="220"/>
      <c r="BJ72" s="220"/>
      <c r="BN72" s="220"/>
      <c r="BO72" s="220"/>
    </row>
    <row r="73" spans="7:67" x14ac:dyDescent="0.45">
      <c r="G73" s="27"/>
      <c r="H73" s="27"/>
      <c r="K73" s="27"/>
      <c r="L73" s="27"/>
      <c r="P73" s="27"/>
      <c r="Q73" s="27"/>
      <c r="U73" s="27"/>
      <c r="V73" s="27"/>
      <c r="Z73" s="167"/>
      <c r="AA73" s="167"/>
      <c r="AE73" s="27"/>
      <c r="AF73" s="27"/>
      <c r="AJ73" s="27"/>
      <c r="AK73" s="27"/>
      <c r="AO73" s="27"/>
      <c r="AP73" s="27"/>
      <c r="AT73" s="27"/>
      <c r="AU73" s="27"/>
      <c r="AY73" s="27"/>
      <c r="AZ73" s="27"/>
      <c r="BD73" s="27"/>
      <c r="BE73" s="27"/>
      <c r="BI73" s="220"/>
      <c r="BJ73" s="220"/>
      <c r="BN73" s="220"/>
      <c r="BO73" s="220"/>
    </row>
    <row r="74" spans="7:67" x14ac:dyDescent="0.45">
      <c r="G74" s="27"/>
      <c r="H74" s="27"/>
      <c r="K74" s="27"/>
      <c r="L74" s="27"/>
      <c r="P74" s="27"/>
      <c r="Q74" s="27"/>
      <c r="U74" s="27"/>
      <c r="V74" s="27"/>
      <c r="Z74" s="167"/>
      <c r="AA74" s="167"/>
      <c r="AE74" s="27"/>
      <c r="AF74" s="27"/>
      <c r="AJ74" s="27"/>
      <c r="AK74" s="27"/>
      <c r="AO74" s="27"/>
      <c r="AP74" s="27"/>
      <c r="AT74" s="27"/>
      <c r="AU74" s="27"/>
      <c r="AY74" s="27"/>
      <c r="AZ74" s="27"/>
      <c r="BD74" s="27"/>
      <c r="BE74" s="27"/>
      <c r="BI74" s="220"/>
      <c r="BJ74" s="220"/>
      <c r="BN74" s="220"/>
      <c r="BO74" s="220"/>
    </row>
    <row r="75" spans="7:67" x14ac:dyDescent="0.45">
      <c r="G75" s="27"/>
      <c r="H75" s="27"/>
      <c r="K75" s="27"/>
      <c r="L75" s="27"/>
      <c r="P75" s="27"/>
      <c r="Q75" s="27"/>
      <c r="U75" s="27"/>
      <c r="V75" s="27"/>
      <c r="Z75" s="167"/>
      <c r="AA75" s="167"/>
      <c r="AE75" s="27"/>
      <c r="AF75" s="27"/>
      <c r="AJ75" s="27"/>
      <c r="AK75" s="27"/>
      <c r="AO75" s="27"/>
      <c r="AP75" s="27"/>
      <c r="AT75" s="27"/>
      <c r="AU75" s="27"/>
      <c r="AY75" s="27"/>
      <c r="AZ75" s="27"/>
      <c r="BD75" s="27"/>
      <c r="BE75" s="27"/>
      <c r="BI75" s="220"/>
      <c r="BJ75" s="220"/>
      <c r="BN75" s="220"/>
      <c r="BO75" s="220"/>
    </row>
    <row r="76" spans="7:67" x14ac:dyDescent="0.45">
      <c r="G76" s="27"/>
      <c r="H76" s="27"/>
      <c r="K76" s="27"/>
      <c r="L76" s="27"/>
      <c r="P76" s="27"/>
      <c r="Q76" s="27"/>
      <c r="U76" s="27"/>
      <c r="V76" s="27"/>
      <c r="Z76" s="167"/>
      <c r="AA76" s="167"/>
      <c r="AE76" s="27"/>
      <c r="AF76" s="27"/>
      <c r="AJ76" s="27"/>
      <c r="AK76" s="27"/>
      <c r="AO76" s="27"/>
      <c r="AP76" s="27"/>
      <c r="AT76" s="27"/>
      <c r="AU76" s="27"/>
      <c r="AY76" s="27"/>
      <c r="AZ76" s="27"/>
      <c r="BD76" s="27"/>
      <c r="BE76" s="27"/>
      <c r="BI76" s="220"/>
      <c r="BJ76" s="220"/>
      <c r="BN76" s="220"/>
      <c r="BO76" s="220"/>
    </row>
    <row r="77" spans="7:67" x14ac:dyDescent="0.45">
      <c r="G77" s="27"/>
      <c r="H77" s="27"/>
      <c r="K77" s="27"/>
      <c r="L77" s="27"/>
      <c r="P77" s="27"/>
      <c r="Q77" s="27"/>
      <c r="U77" s="27"/>
      <c r="V77" s="27"/>
      <c r="Z77" s="167"/>
      <c r="AA77" s="167"/>
      <c r="AE77" s="27"/>
      <c r="AF77" s="27"/>
      <c r="AJ77" s="27"/>
      <c r="AK77" s="27"/>
      <c r="AO77" s="27"/>
      <c r="AP77" s="27"/>
      <c r="AT77" s="27"/>
      <c r="AU77" s="27"/>
      <c r="AY77" s="27"/>
      <c r="AZ77" s="27"/>
      <c r="BD77" s="27"/>
      <c r="BE77" s="27"/>
      <c r="BI77" s="220"/>
      <c r="BJ77" s="220"/>
      <c r="BN77" s="220"/>
      <c r="BO77" s="220"/>
    </row>
    <row r="78" spans="7:67" x14ac:dyDescent="0.45">
      <c r="G78" s="27"/>
      <c r="H78" s="27"/>
      <c r="K78" s="27"/>
      <c r="L78" s="27"/>
      <c r="P78" s="27"/>
      <c r="Q78" s="27"/>
      <c r="U78" s="27"/>
      <c r="V78" s="27"/>
      <c r="Z78" s="167"/>
      <c r="AA78" s="167"/>
      <c r="AE78" s="27"/>
      <c r="AF78" s="27"/>
      <c r="AJ78" s="27"/>
      <c r="AK78" s="27"/>
      <c r="AO78" s="27"/>
      <c r="AP78" s="27"/>
      <c r="AT78" s="27"/>
      <c r="AU78" s="27"/>
      <c r="AY78" s="27"/>
      <c r="AZ78" s="27"/>
      <c r="BD78" s="27"/>
      <c r="BE78" s="27"/>
      <c r="BI78" s="220"/>
      <c r="BJ78" s="220"/>
      <c r="BN78" s="220"/>
      <c r="BO78" s="220"/>
    </row>
    <row r="79" spans="7:67" x14ac:dyDescent="0.45">
      <c r="G79" s="27"/>
      <c r="H79" s="27"/>
      <c r="K79" s="27"/>
      <c r="L79" s="27"/>
      <c r="P79" s="27"/>
      <c r="Q79" s="27"/>
      <c r="U79" s="27"/>
      <c r="V79" s="27"/>
      <c r="Z79" s="167"/>
      <c r="AA79" s="167"/>
      <c r="AE79" s="27"/>
      <c r="AF79" s="27"/>
      <c r="AJ79" s="27"/>
      <c r="AK79" s="27"/>
      <c r="AO79" s="27"/>
      <c r="AP79" s="27"/>
      <c r="AT79" s="27"/>
      <c r="AU79" s="27"/>
      <c r="AY79" s="27"/>
      <c r="AZ79" s="27"/>
      <c r="BD79" s="27"/>
      <c r="BE79" s="27"/>
      <c r="BI79" s="220"/>
      <c r="BJ79" s="220"/>
      <c r="BN79" s="220"/>
      <c r="BO79" s="220"/>
    </row>
    <row r="80" spans="7:67" x14ac:dyDescent="0.45">
      <c r="G80" s="27"/>
      <c r="H80" s="27"/>
      <c r="K80" s="27"/>
      <c r="L80" s="27"/>
      <c r="P80" s="27"/>
      <c r="Q80" s="27"/>
      <c r="U80" s="27"/>
      <c r="V80" s="27"/>
      <c r="Z80" s="167"/>
      <c r="AA80" s="167"/>
      <c r="AE80" s="27"/>
      <c r="AF80" s="27"/>
      <c r="AJ80" s="27"/>
      <c r="AK80" s="27"/>
      <c r="AO80" s="27"/>
      <c r="AP80" s="27"/>
      <c r="AT80" s="27"/>
      <c r="AU80" s="27"/>
      <c r="AY80" s="27"/>
      <c r="AZ80" s="27"/>
      <c r="BD80" s="27"/>
      <c r="BE80" s="27"/>
      <c r="BI80" s="220"/>
      <c r="BJ80" s="220"/>
      <c r="BN80" s="220"/>
      <c r="BO80" s="220"/>
    </row>
    <row r="81" spans="7:67" x14ac:dyDescent="0.45">
      <c r="G81" s="27"/>
      <c r="H81" s="27"/>
      <c r="K81" s="27"/>
      <c r="L81" s="27"/>
      <c r="P81" s="27"/>
      <c r="Q81" s="27"/>
      <c r="U81" s="27"/>
      <c r="V81" s="27"/>
      <c r="Z81" s="167"/>
      <c r="AA81" s="167"/>
      <c r="AE81" s="27"/>
      <c r="AF81" s="27"/>
      <c r="AJ81" s="27"/>
      <c r="AK81" s="27"/>
      <c r="AO81" s="27"/>
      <c r="AP81" s="27"/>
      <c r="AT81" s="27"/>
      <c r="AU81" s="27"/>
      <c r="AY81" s="27"/>
      <c r="AZ81" s="27"/>
      <c r="BD81" s="27"/>
      <c r="BE81" s="27"/>
      <c r="BI81" s="220"/>
      <c r="BJ81" s="220"/>
      <c r="BN81" s="220"/>
      <c r="BO81" s="220"/>
    </row>
    <row r="82" spans="7:67" x14ac:dyDescent="0.45">
      <c r="G82" s="27"/>
      <c r="H82" s="27"/>
      <c r="K82" s="27"/>
      <c r="L82" s="27"/>
      <c r="P82" s="27"/>
      <c r="Q82" s="27"/>
      <c r="U82" s="27"/>
      <c r="V82" s="27"/>
      <c r="Z82" s="167"/>
      <c r="AA82" s="167"/>
      <c r="AE82" s="27"/>
      <c r="AF82" s="27"/>
      <c r="AJ82" s="27"/>
      <c r="AK82" s="27"/>
      <c r="AO82" s="27"/>
      <c r="AP82" s="27"/>
      <c r="AT82" s="27"/>
      <c r="AU82" s="27"/>
      <c r="AY82" s="27"/>
      <c r="AZ82" s="27"/>
      <c r="BD82" s="27"/>
      <c r="BE82" s="27"/>
      <c r="BI82" s="220"/>
      <c r="BJ82" s="220"/>
      <c r="BN82" s="220"/>
      <c r="BO82" s="220"/>
    </row>
    <row r="83" spans="7:67" x14ac:dyDescent="0.45">
      <c r="G83" s="27"/>
      <c r="H83" s="27"/>
      <c r="K83" s="27"/>
      <c r="L83" s="27"/>
      <c r="P83" s="27"/>
      <c r="Q83" s="27"/>
      <c r="U83" s="27"/>
      <c r="V83" s="27"/>
      <c r="Z83" s="167"/>
      <c r="AA83" s="167"/>
      <c r="AE83" s="27"/>
      <c r="AF83" s="27"/>
      <c r="AJ83" s="27"/>
      <c r="AK83" s="27"/>
      <c r="AO83" s="27"/>
      <c r="AP83" s="27"/>
      <c r="AT83" s="27"/>
      <c r="AU83" s="27"/>
      <c r="AY83" s="27"/>
      <c r="AZ83" s="27"/>
      <c r="BD83" s="27"/>
      <c r="BE83" s="27"/>
      <c r="BI83" s="220"/>
      <c r="BJ83" s="220"/>
      <c r="BN83" s="220"/>
      <c r="BO83" s="220"/>
    </row>
    <row r="84" spans="7:67" x14ac:dyDescent="0.45">
      <c r="G84" s="27"/>
      <c r="H84" s="27"/>
      <c r="K84" s="27"/>
      <c r="L84" s="27"/>
      <c r="P84" s="27"/>
      <c r="Q84" s="27"/>
      <c r="U84" s="27"/>
      <c r="V84" s="27"/>
      <c r="Z84" s="167"/>
      <c r="AA84" s="167"/>
      <c r="AE84" s="27"/>
      <c r="AF84" s="27"/>
      <c r="AJ84" s="27"/>
      <c r="AK84" s="27"/>
      <c r="AO84" s="27"/>
      <c r="AP84" s="27"/>
      <c r="AT84" s="27"/>
      <c r="AU84" s="27"/>
      <c r="AY84" s="27"/>
      <c r="AZ84" s="27"/>
      <c r="BD84" s="27"/>
      <c r="BE84" s="27"/>
      <c r="BI84" s="220"/>
      <c r="BJ84" s="220"/>
      <c r="BN84" s="220"/>
      <c r="BO84" s="220"/>
    </row>
    <row r="85" spans="7:67" x14ac:dyDescent="0.45">
      <c r="G85" s="27"/>
      <c r="H85" s="27"/>
      <c r="K85" s="27"/>
      <c r="L85" s="27"/>
      <c r="P85" s="27"/>
      <c r="Q85" s="27"/>
      <c r="U85" s="27"/>
      <c r="V85" s="27"/>
      <c r="Z85" s="167"/>
      <c r="AA85" s="167"/>
      <c r="AE85" s="27"/>
      <c r="AF85" s="27"/>
      <c r="AJ85" s="27"/>
      <c r="AK85" s="27"/>
      <c r="AO85" s="27"/>
      <c r="AP85" s="27"/>
      <c r="AT85" s="27"/>
      <c r="AU85" s="27"/>
      <c r="AY85" s="27"/>
      <c r="AZ85" s="27"/>
      <c r="BD85" s="27"/>
      <c r="BE85" s="27"/>
      <c r="BI85" s="220"/>
      <c r="BJ85" s="220"/>
      <c r="BN85" s="220"/>
      <c r="BO85" s="220"/>
    </row>
    <row r="86" spans="7:67" x14ac:dyDescent="0.45">
      <c r="G86" s="27"/>
      <c r="H86" s="27"/>
      <c r="K86" s="27"/>
      <c r="L86" s="27"/>
      <c r="P86" s="27"/>
      <c r="Q86" s="27"/>
      <c r="U86" s="27"/>
      <c r="V86" s="27"/>
      <c r="Z86" s="167"/>
      <c r="AA86" s="167"/>
      <c r="AE86" s="27"/>
      <c r="AF86" s="27"/>
      <c r="AJ86" s="27"/>
      <c r="AK86" s="27"/>
      <c r="AO86" s="27"/>
      <c r="AP86" s="27"/>
      <c r="AT86" s="27"/>
      <c r="AU86" s="27"/>
      <c r="AY86" s="27"/>
      <c r="AZ86" s="27"/>
      <c r="BD86" s="27"/>
      <c r="BE86" s="27"/>
      <c r="BI86" s="220"/>
      <c r="BJ86" s="220"/>
      <c r="BN86" s="220"/>
      <c r="BO86" s="220"/>
    </row>
    <row r="87" spans="7:67" x14ac:dyDescent="0.45">
      <c r="G87" s="27"/>
      <c r="H87" s="27"/>
      <c r="K87" s="27"/>
      <c r="L87" s="27"/>
      <c r="P87" s="27"/>
      <c r="Q87" s="27"/>
      <c r="U87" s="27"/>
      <c r="V87" s="27"/>
      <c r="Z87" s="167"/>
      <c r="AA87" s="167"/>
      <c r="AE87" s="27"/>
      <c r="AF87" s="27"/>
      <c r="AJ87" s="27"/>
      <c r="AK87" s="27"/>
      <c r="AO87" s="27"/>
      <c r="AP87" s="27"/>
      <c r="AT87" s="27"/>
      <c r="AU87" s="27"/>
      <c r="AY87" s="27"/>
      <c r="AZ87" s="27"/>
      <c r="BD87" s="27"/>
      <c r="BE87" s="27"/>
      <c r="BI87" s="220"/>
      <c r="BJ87" s="220"/>
      <c r="BN87" s="220"/>
      <c r="BO87" s="220"/>
    </row>
    <row r="88" spans="7:67" x14ac:dyDescent="0.45">
      <c r="G88" s="27"/>
      <c r="H88" s="27"/>
      <c r="K88" s="27"/>
      <c r="L88" s="27"/>
      <c r="P88" s="27"/>
      <c r="Q88" s="27"/>
      <c r="U88" s="27"/>
      <c r="V88" s="27"/>
      <c r="Z88" s="167"/>
      <c r="AA88" s="167"/>
      <c r="AE88" s="27"/>
      <c r="AF88" s="27"/>
      <c r="AJ88" s="27"/>
      <c r="AK88" s="27"/>
      <c r="AO88" s="27"/>
      <c r="AP88" s="27"/>
      <c r="AT88" s="27"/>
      <c r="AU88" s="27"/>
      <c r="AY88" s="27"/>
      <c r="AZ88" s="27"/>
      <c r="BD88" s="27"/>
      <c r="BE88" s="27"/>
      <c r="BI88" s="220"/>
      <c r="BJ88" s="220"/>
      <c r="BN88" s="220"/>
      <c r="BO88" s="220"/>
    </row>
    <row r="89" spans="7:67" x14ac:dyDescent="0.45">
      <c r="G89" s="27"/>
      <c r="H89" s="27"/>
      <c r="K89" s="27"/>
      <c r="L89" s="27"/>
      <c r="P89" s="27"/>
      <c r="Q89" s="27"/>
      <c r="U89" s="27"/>
      <c r="V89" s="27"/>
      <c r="Z89" s="167"/>
      <c r="AA89" s="167"/>
      <c r="AE89" s="27"/>
      <c r="AF89" s="27"/>
      <c r="AJ89" s="27"/>
      <c r="AK89" s="27"/>
      <c r="AO89" s="27"/>
      <c r="AP89" s="27"/>
      <c r="AT89" s="27"/>
      <c r="AU89" s="27"/>
      <c r="AY89" s="27"/>
      <c r="AZ89" s="27"/>
      <c r="BD89" s="27"/>
      <c r="BE89" s="27"/>
      <c r="BI89" s="220"/>
      <c r="BJ89" s="220"/>
      <c r="BN89" s="220"/>
      <c r="BO89" s="220"/>
    </row>
    <row r="90" spans="7:67" x14ac:dyDescent="0.45">
      <c r="G90" s="27"/>
      <c r="H90" s="27"/>
      <c r="K90" s="27"/>
      <c r="L90" s="27"/>
      <c r="P90" s="27"/>
      <c r="Q90" s="27"/>
      <c r="U90" s="27"/>
      <c r="V90" s="27"/>
      <c r="Z90" s="167"/>
      <c r="AA90" s="167"/>
      <c r="AE90" s="27"/>
      <c r="AF90" s="27"/>
      <c r="AJ90" s="27"/>
      <c r="AK90" s="27"/>
      <c r="AO90" s="27"/>
      <c r="AP90" s="27"/>
      <c r="AT90" s="27"/>
      <c r="AU90" s="27"/>
      <c r="AY90" s="27"/>
      <c r="AZ90" s="27"/>
      <c r="BD90" s="27"/>
      <c r="BE90" s="27"/>
      <c r="BI90" s="220"/>
      <c r="BJ90" s="220"/>
      <c r="BN90" s="220"/>
      <c r="BO90" s="220"/>
    </row>
    <row r="91" spans="7:67" x14ac:dyDescent="0.45">
      <c r="G91" s="27"/>
      <c r="H91" s="27"/>
      <c r="K91" s="27"/>
      <c r="L91" s="27"/>
      <c r="P91" s="27"/>
      <c r="Q91" s="27"/>
      <c r="U91" s="27"/>
      <c r="V91" s="27"/>
      <c r="Z91" s="167"/>
      <c r="AA91" s="167"/>
      <c r="AE91" s="27"/>
      <c r="AF91" s="27"/>
      <c r="AJ91" s="27"/>
      <c r="AK91" s="27"/>
      <c r="AO91" s="27"/>
      <c r="AP91" s="27"/>
      <c r="AT91" s="27"/>
      <c r="AU91" s="27"/>
      <c r="AY91" s="27"/>
      <c r="AZ91" s="27"/>
      <c r="BD91" s="27"/>
      <c r="BE91" s="27"/>
      <c r="BI91" s="220"/>
      <c r="BJ91" s="220"/>
      <c r="BN91" s="220"/>
      <c r="BO91" s="220"/>
    </row>
    <row r="92" spans="7:67" x14ac:dyDescent="0.45">
      <c r="G92" s="27"/>
      <c r="H92" s="27"/>
      <c r="K92" s="27"/>
      <c r="L92" s="27"/>
      <c r="P92" s="27"/>
      <c r="Q92" s="27"/>
      <c r="U92" s="27"/>
      <c r="V92" s="27"/>
      <c r="Z92" s="167"/>
      <c r="AA92" s="167"/>
      <c r="AE92" s="27"/>
      <c r="AF92" s="27"/>
      <c r="AJ92" s="27"/>
      <c r="AK92" s="27"/>
      <c r="AO92" s="27"/>
      <c r="AP92" s="27"/>
      <c r="AT92" s="27"/>
      <c r="AU92" s="27"/>
      <c r="AY92" s="27"/>
      <c r="AZ92" s="27"/>
      <c r="BD92" s="27"/>
      <c r="BE92" s="27"/>
      <c r="BI92" s="220"/>
      <c r="BJ92" s="220"/>
      <c r="BN92" s="220"/>
      <c r="BO92" s="220"/>
    </row>
    <row r="93" spans="7:67" x14ac:dyDescent="0.45">
      <c r="G93" s="27"/>
      <c r="H93" s="27"/>
      <c r="K93" s="27"/>
      <c r="L93" s="27"/>
      <c r="P93" s="27"/>
      <c r="Q93" s="27"/>
      <c r="U93" s="27"/>
      <c r="V93" s="27"/>
      <c r="Z93" s="167"/>
      <c r="AA93" s="167"/>
      <c r="AE93" s="27"/>
      <c r="AF93" s="27"/>
      <c r="AJ93" s="27"/>
      <c r="AK93" s="27"/>
      <c r="AO93" s="27"/>
      <c r="AP93" s="27"/>
      <c r="AT93" s="27"/>
      <c r="AU93" s="27"/>
      <c r="AY93" s="27"/>
      <c r="AZ93" s="27"/>
      <c r="BD93" s="27"/>
      <c r="BE93" s="27"/>
      <c r="BI93" s="220"/>
      <c r="BJ93" s="220"/>
      <c r="BN93" s="220"/>
      <c r="BO93" s="220"/>
    </row>
    <row r="94" spans="7:67" x14ac:dyDescent="0.45">
      <c r="G94" s="27"/>
      <c r="H94" s="27"/>
      <c r="K94" s="27"/>
      <c r="L94" s="27"/>
      <c r="P94" s="27"/>
      <c r="Q94" s="27"/>
      <c r="U94" s="27"/>
      <c r="V94" s="27"/>
      <c r="Z94" s="167"/>
      <c r="AA94" s="167"/>
      <c r="AE94" s="27"/>
      <c r="AF94" s="27"/>
      <c r="AJ94" s="27"/>
      <c r="AK94" s="27"/>
      <c r="AO94" s="27"/>
      <c r="AP94" s="27"/>
      <c r="AT94" s="27"/>
      <c r="AU94" s="27"/>
      <c r="AY94" s="27"/>
      <c r="AZ94" s="27"/>
      <c r="BD94" s="27"/>
      <c r="BE94" s="27"/>
      <c r="BI94" s="220"/>
      <c r="BJ94" s="220"/>
      <c r="BN94" s="220"/>
      <c r="BO94" s="220"/>
    </row>
    <row r="95" spans="7:67" x14ac:dyDescent="0.45">
      <c r="G95" s="27"/>
      <c r="H95" s="27"/>
      <c r="K95" s="27"/>
      <c r="L95" s="27"/>
      <c r="P95" s="27"/>
      <c r="Q95" s="27"/>
      <c r="U95" s="27"/>
      <c r="V95" s="27"/>
      <c r="Z95" s="167"/>
      <c r="AA95" s="167"/>
      <c r="AE95" s="27"/>
      <c r="AF95" s="27"/>
      <c r="AJ95" s="27"/>
      <c r="AK95" s="27"/>
      <c r="AO95" s="27"/>
      <c r="AP95" s="27"/>
      <c r="AT95" s="27"/>
      <c r="AU95" s="27"/>
      <c r="AY95" s="27"/>
      <c r="AZ95" s="27"/>
      <c r="BD95" s="27"/>
      <c r="BE95" s="27"/>
      <c r="BI95" s="220"/>
      <c r="BJ95" s="220"/>
      <c r="BN95" s="220"/>
      <c r="BO95" s="220"/>
    </row>
    <row r="96" spans="7:67" x14ac:dyDescent="0.45">
      <c r="G96" s="27"/>
      <c r="H96" s="27"/>
      <c r="K96" s="27"/>
      <c r="L96" s="27"/>
      <c r="P96" s="27"/>
      <c r="Q96" s="27"/>
      <c r="U96" s="27"/>
      <c r="V96" s="27"/>
      <c r="Z96" s="167"/>
      <c r="AA96" s="167"/>
      <c r="AE96" s="27"/>
      <c r="AF96" s="27"/>
      <c r="AJ96" s="27"/>
      <c r="AK96" s="27"/>
      <c r="AO96" s="27"/>
      <c r="AP96" s="27"/>
      <c r="AT96" s="27"/>
      <c r="AU96" s="27"/>
      <c r="AY96" s="27"/>
      <c r="AZ96" s="27"/>
      <c r="BD96" s="27"/>
      <c r="BE96" s="27"/>
      <c r="BI96" s="220"/>
      <c r="BJ96" s="220"/>
      <c r="BN96" s="220"/>
      <c r="BO96" s="220"/>
    </row>
    <row r="97" spans="7:67" x14ac:dyDescent="0.45">
      <c r="G97" s="27"/>
      <c r="H97" s="27"/>
      <c r="K97" s="27"/>
      <c r="L97" s="27"/>
      <c r="P97" s="27"/>
      <c r="Q97" s="27"/>
      <c r="U97" s="27"/>
      <c r="V97" s="27"/>
      <c r="Z97" s="167"/>
      <c r="AA97" s="167"/>
      <c r="AE97" s="27"/>
      <c r="AF97" s="27"/>
      <c r="AJ97" s="27"/>
      <c r="AK97" s="27"/>
      <c r="AO97" s="27"/>
      <c r="AP97" s="27"/>
      <c r="AT97" s="27"/>
      <c r="AU97" s="27"/>
      <c r="AY97" s="27"/>
      <c r="AZ97" s="27"/>
      <c r="BD97" s="27"/>
      <c r="BE97" s="27"/>
      <c r="BI97" s="220"/>
      <c r="BJ97" s="220"/>
      <c r="BN97" s="220"/>
      <c r="BO97" s="220"/>
    </row>
    <row r="98" spans="7:67" x14ac:dyDescent="0.45">
      <c r="G98" s="27"/>
      <c r="H98" s="27"/>
      <c r="K98" s="27"/>
      <c r="L98" s="27"/>
      <c r="P98" s="27"/>
      <c r="Q98" s="27"/>
      <c r="U98" s="27"/>
      <c r="V98" s="27"/>
      <c r="Z98" s="167"/>
      <c r="AA98" s="167"/>
      <c r="AE98" s="27"/>
      <c r="AF98" s="27"/>
      <c r="AJ98" s="27"/>
      <c r="AK98" s="27"/>
      <c r="AO98" s="27"/>
      <c r="AP98" s="27"/>
      <c r="AT98" s="27"/>
      <c r="AU98" s="27"/>
      <c r="AY98" s="27"/>
      <c r="AZ98" s="27"/>
      <c r="BD98" s="27"/>
      <c r="BE98" s="27"/>
      <c r="BI98" s="220"/>
      <c r="BJ98" s="220"/>
      <c r="BN98" s="220"/>
      <c r="BO98" s="220"/>
    </row>
    <row r="99" spans="7:67" x14ac:dyDescent="0.45">
      <c r="G99" s="27"/>
      <c r="H99" s="27"/>
      <c r="K99" s="27"/>
      <c r="L99" s="27"/>
      <c r="P99" s="27"/>
      <c r="Q99" s="27"/>
      <c r="U99" s="27"/>
      <c r="V99" s="27"/>
      <c r="Z99" s="167"/>
      <c r="AA99" s="167"/>
      <c r="AE99" s="27"/>
      <c r="AF99" s="27"/>
      <c r="AJ99" s="27"/>
      <c r="AK99" s="27"/>
      <c r="AO99" s="27"/>
      <c r="AP99" s="27"/>
      <c r="AT99" s="27"/>
      <c r="AU99" s="27"/>
      <c r="AY99" s="27"/>
      <c r="AZ99" s="27"/>
      <c r="BD99" s="27"/>
      <c r="BE99" s="27"/>
      <c r="BI99" s="220"/>
      <c r="BJ99" s="220"/>
      <c r="BN99" s="220"/>
      <c r="BO99" s="220"/>
    </row>
    <row r="100" spans="7:67" x14ac:dyDescent="0.45">
      <c r="G100" s="27"/>
      <c r="H100" s="27"/>
      <c r="K100" s="27"/>
      <c r="L100" s="27"/>
      <c r="P100" s="27"/>
      <c r="Q100" s="27"/>
      <c r="U100" s="27"/>
      <c r="V100" s="27"/>
      <c r="Z100" s="167"/>
      <c r="AA100" s="167"/>
      <c r="AE100" s="27"/>
      <c r="AF100" s="27"/>
      <c r="AJ100" s="27"/>
      <c r="AK100" s="27"/>
      <c r="AO100" s="27"/>
      <c r="AP100" s="27"/>
      <c r="AT100" s="27"/>
      <c r="AU100" s="27"/>
      <c r="AY100" s="27"/>
      <c r="AZ100" s="27"/>
      <c r="BD100" s="27"/>
      <c r="BE100" s="27"/>
      <c r="BI100" s="220"/>
      <c r="BJ100" s="220"/>
      <c r="BN100" s="220"/>
      <c r="BO100" s="220"/>
    </row>
    <row r="101" spans="7:67" x14ac:dyDescent="0.45">
      <c r="G101" s="27"/>
      <c r="H101" s="27"/>
      <c r="K101" s="27"/>
      <c r="L101" s="27"/>
      <c r="P101" s="27"/>
      <c r="Q101" s="27"/>
      <c r="U101" s="27"/>
      <c r="V101" s="27"/>
      <c r="Z101" s="167"/>
      <c r="AA101" s="167"/>
      <c r="AE101" s="27"/>
      <c r="AF101" s="27"/>
      <c r="AJ101" s="27"/>
      <c r="AK101" s="27"/>
      <c r="AO101" s="27"/>
      <c r="AP101" s="27"/>
      <c r="AT101" s="27"/>
      <c r="AU101" s="27"/>
      <c r="AY101" s="27"/>
      <c r="AZ101" s="27"/>
      <c r="BD101" s="27"/>
      <c r="BE101" s="27"/>
      <c r="BI101" s="220"/>
      <c r="BJ101" s="220"/>
      <c r="BN101" s="220"/>
      <c r="BO101" s="220"/>
    </row>
    <row r="102" spans="7:67" x14ac:dyDescent="0.45">
      <c r="G102" s="27"/>
      <c r="H102" s="27"/>
      <c r="K102" s="27"/>
      <c r="L102" s="27"/>
      <c r="P102" s="27"/>
      <c r="Q102" s="27"/>
      <c r="U102" s="27"/>
      <c r="V102" s="27"/>
      <c r="Z102" s="167"/>
      <c r="AA102" s="167"/>
      <c r="AE102" s="27"/>
      <c r="AF102" s="27"/>
      <c r="AJ102" s="27"/>
      <c r="AK102" s="27"/>
      <c r="AO102" s="27"/>
      <c r="AP102" s="27"/>
      <c r="AT102" s="27"/>
      <c r="AU102" s="27"/>
      <c r="AY102" s="27"/>
      <c r="AZ102" s="27"/>
      <c r="BD102" s="27"/>
      <c r="BE102" s="27"/>
      <c r="BI102" s="220"/>
      <c r="BJ102" s="220"/>
      <c r="BN102" s="220"/>
      <c r="BO102" s="220"/>
    </row>
    <row r="103" spans="7:67" x14ac:dyDescent="0.45">
      <c r="G103" s="27"/>
      <c r="H103" s="27"/>
      <c r="K103" s="27"/>
      <c r="L103" s="27"/>
      <c r="P103" s="27"/>
      <c r="Q103" s="27"/>
      <c r="U103" s="27"/>
      <c r="V103" s="27"/>
      <c r="Z103" s="167"/>
      <c r="AA103" s="167"/>
      <c r="AE103" s="27"/>
      <c r="AF103" s="27"/>
      <c r="AJ103" s="27"/>
      <c r="AK103" s="27"/>
      <c r="AO103" s="27"/>
      <c r="AP103" s="27"/>
      <c r="AT103" s="27"/>
      <c r="AU103" s="27"/>
      <c r="AY103" s="27"/>
      <c r="AZ103" s="27"/>
      <c r="BD103" s="27"/>
      <c r="BE103" s="27"/>
      <c r="BI103" s="220"/>
      <c r="BJ103" s="220"/>
      <c r="BN103" s="220"/>
      <c r="BO103" s="220"/>
    </row>
    <row r="104" spans="7:67" x14ac:dyDescent="0.45">
      <c r="G104" s="27"/>
      <c r="H104" s="27"/>
      <c r="K104" s="27"/>
      <c r="L104" s="27"/>
      <c r="P104" s="27"/>
      <c r="Q104" s="27"/>
      <c r="U104" s="27"/>
      <c r="V104" s="27"/>
      <c r="Z104" s="167"/>
      <c r="AA104" s="167"/>
      <c r="AE104" s="27"/>
      <c r="AF104" s="27"/>
      <c r="AJ104" s="27"/>
      <c r="AK104" s="27"/>
      <c r="AO104" s="27"/>
      <c r="AP104" s="27"/>
      <c r="AT104" s="27"/>
      <c r="AU104" s="27"/>
      <c r="AY104" s="27"/>
      <c r="AZ104" s="27"/>
      <c r="BD104" s="27"/>
      <c r="BE104" s="27"/>
      <c r="BI104" s="220"/>
      <c r="BJ104" s="220"/>
      <c r="BN104" s="220"/>
      <c r="BO104" s="220"/>
    </row>
    <row r="105" spans="7:67" x14ac:dyDescent="0.45">
      <c r="G105" s="27"/>
      <c r="H105" s="27"/>
      <c r="K105" s="27"/>
      <c r="L105" s="27"/>
      <c r="P105" s="27"/>
      <c r="Q105" s="27"/>
      <c r="U105" s="27"/>
      <c r="V105" s="27"/>
      <c r="Z105" s="167"/>
      <c r="AA105" s="167"/>
      <c r="AE105" s="27"/>
      <c r="AF105" s="27"/>
      <c r="AJ105" s="27"/>
      <c r="AK105" s="27"/>
      <c r="AO105" s="27"/>
      <c r="AP105" s="27"/>
      <c r="AT105" s="27"/>
      <c r="AU105" s="27"/>
      <c r="AY105" s="27"/>
      <c r="AZ105" s="27"/>
      <c r="BD105" s="27"/>
      <c r="BE105" s="27"/>
      <c r="BI105" s="220"/>
      <c r="BJ105" s="220"/>
      <c r="BN105" s="220"/>
      <c r="BO105" s="220"/>
    </row>
    <row r="106" spans="7:67" x14ac:dyDescent="0.45">
      <c r="G106" s="27"/>
      <c r="H106" s="27"/>
      <c r="K106" s="27"/>
      <c r="L106" s="27"/>
      <c r="P106" s="27"/>
      <c r="Q106" s="27"/>
      <c r="U106" s="27"/>
      <c r="V106" s="27"/>
      <c r="Z106" s="167"/>
      <c r="AA106" s="167"/>
      <c r="AE106" s="27"/>
      <c r="AF106" s="27"/>
      <c r="AJ106" s="27"/>
      <c r="AK106" s="27"/>
      <c r="AO106" s="27"/>
      <c r="AP106" s="27"/>
      <c r="AT106" s="27"/>
      <c r="AU106" s="27"/>
      <c r="AY106" s="27"/>
      <c r="AZ106" s="27"/>
      <c r="BD106" s="27"/>
      <c r="BE106" s="27"/>
      <c r="BI106" s="220"/>
      <c r="BJ106" s="220"/>
      <c r="BN106" s="220"/>
      <c r="BO106" s="220"/>
    </row>
    <row r="107" spans="7:67" x14ac:dyDescent="0.45">
      <c r="G107" s="27"/>
      <c r="H107" s="27"/>
      <c r="K107" s="27"/>
      <c r="L107" s="27"/>
      <c r="P107" s="27"/>
      <c r="Q107" s="27"/>
      <c r="U107" s="27"/>
      <c r="V107" s="27"/>
      <c r="Z107" s="167"/>
      <c r="AA107" s="167"/>
      <c r="AE107" s="27"/>
      <c r="AF107" s="27"/>
      <c r="AJ107" s="27"/>
      <c r="AK107" s="27"/>
      <c r="AO107" s="27"/>
      <c r="AP107" s="27"/>
      <c r="AT107" s="27"/>
      <c r="AU107" s="27"/>
      <c r="AY107" s="27"/>
      <c r="AZ107" s="27"/>
      <c r="BD107" s="27"/>
      <c r="BE107" s="27"/>
      <c r="BI107" s="220"/>
      <c r="BJ107" s="220"/>
      <c r="BN107" s="220"/>
      <c r="BO107" s="220"/>
    </row>
    <row r="108" spans="7:67" x14ac:dyDescent="0.45">
      <c r="G108" s="27"/>
      <c r="H108" s="27"/>
      <c r="K108" s="27"/>
      <c r="L108" s="27"/>
      <c r="P108" s="27"/>
      <c r="Q108" s="27"/>
      <c r="U108" s="27"/>
      <c r="V108" s="27"/>
      <c r="Z108" s="167"/>
      <c r="AA108" s="167"/>
      <c r="AE108" s="27"/>
      <c r="AF108" s="27"/>
      <c r="AJ108" s="27"/>
      <c r="AK108" s="27"/>
      <c r="AO108" s="27"/>
      <c r="AP108" s="27"/>
      <c r="AT108" s="27"/>
      <c r="AU108" s="27"/>
      <c r="AY108" s="27"/>
      <c r="AZ108" s="27"/>
      <c r="BD108" s="27"/>
      <c r="BE108" s="27"/>
      <c r="BI108" s="220"/>
      <c r="BJ108" s="220"/>
      <c r="BN108" s="220"/>
      <c r="BO108" s="220"/>
    </row>
    <row r="109" spans="7:67" x14ac:dyDescent="0.45">
      <c r="G109" s="27"/>
      <c r="H109" s="27"/>
      <c r="K109" s="27"/>
      <c r="L109" s="27"/>
      <c r="P109" s="27"/>
      <c r="Q109" s="27"/>
      <c r="U109" s="27"/>
      <c r="V109" s="27"/>
      <c r="Z109" s="167"/>
      <c r="AA109" s="167"/>
      <c r="AE109" s="27"/>
      <c r="AF109" s="27"/>
      <c r="AJ109" s="27"/>
      <c r="AK109" s="27"/>
      <c r="AO109" s="27"/>
      <c r="AP109" s="27"/>
      <c r="AT109" s="27"/>
      <c r="AU109" s="27"/>
      <c r="AY109" s="27"/>
      <c r="AZ109" s="27"/>
      <c r="BD109" s="27"/>
      <c r="BE109" s="27"/>
      <c r="BI109" s="220"/>
      <c r="BJ109" s="220"/>
      <c r="BN109" s="220"/>
      <c r="BO109" s="220"/>
    </row>
    <row r="110" spans="7:67" x14ac:dyDescent="0.45">
      <c r="G110" s="27"/>
      <c r="H110" s="27"/>
      <c r="K110" s="27"/>
      <c r="L110" s="27"/>
      <c r="P110" s="27"/>
      <c r="Q110" s="27"/>
      <c r="U110" s="27"/>
      <c r="V110" s="27"/>
      <c r="Z110" s="167"/>
      <c r="AA110" s="167"/>
      <c r="AE110" s="27"/>
      <c r="AF110" s="27"/>
      <c r="AJ110" s="27"/>
      <c r="AK110" s="27"/>
      <c r="AO110" s="27"/>
      <c r="AP110" s="27"/>
      <c r="AT110" s="27"/>
      <c r="AU110" s="27"/>
      <c r="AY110" s="27"/>
      <c r="AZ110" s="27"/>
      <c r="BD110" s="27"/>
      <c r="BE110" s="27"/>
      <c r="BI110" s="220"/>
      <c r="BJ110" s="220"/>
      <c r="BN110" s="220"/>
      <c r="BO110" s="220"/>
    </row>
    <row r="111" spans="7:67" x14ac:dyDescent="0.45">
      <c r="G111" s="27"/>
      <c r="H111" s="27"/>
      <c r="K111" s="27"/>
      <c r="L111" s="27"/>
      <c r="P111" s="27"/>
      <c r="Q111" s="27"/>
      <c r="U111" s="27"/>
      <c r="V111" s="27"/>
      <c r="Z111" s="167"/>
      <c r="AA111" s="167"/>
      <c r="AE111" s="27"/>
      <c r="AF111" s="27"/>
      <c r="AJ111" s="27"/>
      <c r="AK111" s="27"/>
      <c r="AO111" s="27"/>
      <c r="AP111" s="27"/>
      <c r="AT111" s="27"/>
      <c r="AU111" s="27"/>
      <c r="AY111" s="27"/>
      <c r="AZ111" s="27"/>
      <c r="BD111" s="27"/>
      <c r="BE111" s="27"/>
      <c r="BI111" s="220"/>
      <c r="BJ111" s="220"/>
      <c r="BN111" s="220"/>
      <c r="BO111" s="220"/>
    </row>
    <row r="112" spans="7:67" x14ac:dyDescent="0.45">
      <c r="G112" s="27"/>
      <c r="H112" s="27"/>
      <c r="K112" s="27"/>
      <c r="L112" s="27"/>
      <c r="P112" s="27"/>
      <c r="Q112" s="27"/>
      <c r="U112" s="27"/>
      <c r="V112" s="27"/>
      <c r="Z112" s="167"/>
      <c r="AA112" s="167"/>
      <c r="AE112" s="27"/>
      <c r="AF112" s="27"/>
      <c r="AJ112" s="27"/>
      <c r="AK112" s="27"/>
      <c r="AO112" s="27"/>
      <c r="AP112" s="27"/>
      <c r="AT112" s="27"/>
      <c r="AU112" s="27"/>
      <c r="AY112" s="27"/>
      <c r="AZ112" s="27"/>
      <c r="BD112" s="27"/>
      <c r="BE112" s="27"/>
      <c r="BI112" s="220"/>
      <c r="BJ112" s="220"/>
      <c r="BN112" s="220"/>
      <c r="BO112" s="220"/>
    </row>
    <row r="113" spans="7:67" x14ac:dyDescent="0.45">
      <c r="G113" s="27"/>
      <c r="H113" s="27"/>
      <c r="K113" s="27"/>
      <c r="L113" s="27"/>
      <c r="P113" s="27"/>
      <c r="Q113" s="27"/>
      <c r="U113" s="27"/>
      <c r="V113" s="27"/>
      <c r="Z113" s="167"/>
      <c r="AA113" s="167"/>
      <c r="AE113" s="27"/>
      <c r="AF113" s="27"/>
      <c r="AJ113" s="27"/>
      <c r="AK113" s="27"/>
      <c r="AO113" s="27"/>
      <c r="AP113" s="27"/>
      <c r="AT113" s="27"/>
      <c r="AU113" s="27"/>
      <c r="AY113" s="27"/>
      <c r="AZ113" s="27"/>
      <c r="BD113" s="27"/>
      <c r="BE113" s="27"/>
      <c r="BI113" s="220"/>
      <c r="BJ113" s="220"/>
      <c r="BN113" s="220"/>
      <c r="BO113" s="220"/>
    </row>
    <row r="114" spans="7:67" x14ac:dyDescent="0.45">
      <c r="G114" s="27"/>
      <c r="H114" s="27"/>
      <c r="K114" s="27"/>
      <c r="L114" s="27"/>
      <c r="P114" s="27"/>
      <c r="Q114" s="27"/>
      <c r="U114" s="27"/>
      <c r="V114" s="27"/>
      <c r="Z114" s="167"/>
      <c r="AA114" s="167"/>
      <c r="AE114" s="27"/>
      <c r="AF114" s="27"/>
      <c r="AJ114" s="27"/>
      <c r="AK114" s="27"/>
      <c r="AO114" s="27"/>
      <c r="AP114" s="27"/>
      <c r="AT114" s="27"/>
      <c r="AU114" s="27"/>
      <c r="AY114" s="27"/>
      <c r="AZ114" s="27"/>
      <c r="BD114" s="27"/>
      <c r="BE114" s="27"/>
      <c r="BI114" s="220"/>
      <c r="BJ114" s="220"/>
      <c r="BN114" s="220"/>
      <c r="BO114" s="220"/>
    </row>
    <row r="115" spans="7:67" x14ac:dyDescent="0.45">
      <c r="G115" s="27"/>
      <c r="H115" s="27"/>
      <c r="K115" s="27"/>
      <c r="L115" s="27"/>
      <c r="P115" s="27"/>
      <c r="Q115" s="27"/>
      <c r="U115" s="27"/>
      <c r="V115" s="27"/>
      <c r="Z115" s="167"/>
      <c r="AA115" s="167"/>
      <c r="AE115" s="27"/>
      <c r="AF115" s="27"/>
      <c r="AJ115" s="27"/>
      <c r="AK115" s="27"/>
      <c r="AO115" s="27"/>
      <c r="AP115" s="27"/>
      <c r="AT115" s="27"/>
      <c r="AU115" s="27"/>
      <c r="AY115" s="27"/>
      <c r="AZ115" s="27"/>
      <c r="BD115" s="27"/>
      <c r="BE115" s="27"/>
      <c r="BI115" s="220"/>
      <c r="BJ115" s="220"/>
      <c r="BN115" s="220"/>
      <c r="BO115" s="220"/>
    </row>
    <row r="116" spans="7:67" x14ac:dyDescent="0.45">
      <c r="G116" s="27"/>
      <c r="H116" s="27"/>
      <c r="K116" s="27"/>
      <c r="L116" s="27"/>
      <c r="P116" s="27"/>
      <c r="Q116" s="27"/>
      <c r="U116" s="27"/>
      <c r="V116" s="27"/>
      <c r="Z116" s="167"/>
      <c r="AA116" s="167"/>
      <c r="AE116" s="27"/>
      <c r="AF116" s="27"/>
      <c r="AJ116" s="27"/>
      <c r="AK116" s="27"/>
      <c r="AO116" s="27"/>
      <c r="AP116" s="27"/>
      <c r="AT116" s="27"/>
      <c r="AU116" s="27"/>
      <c r="AY116" s="27"/>
      <c r="AZ116" s="27"/>
      <c r="BD116" s="27"/>
      <c r="BE116" s="27"/>
      <c r="BI116" s="220"/>
      <c r="BJ116" s="220"/>
      <c r="BN116" s="220"/>
      <c r="BO116" s="220"/>
    </row>
    <row r="117" spans="7:67" x14ac:dyDescent="0.45">
      <c r="G117" s="27"/>
      <c r="H117" s="27"/>
      <c r="K117" s="27"/>
      <c r="L117" s="27"/>
      <c r="P117" s="27"/>
      <c r="Q117" s="27"/>
      <c r="U117" s="27"/>
      <c r="V117" s="27"/>
      <c r="Z117" s="167"/>
      <c r="AA117" s="167"/>
      <c r="AE117" s="27"/>
      <c r="AF117" s="27"/>
      <c r="AJ117" s="27"/>
      <c r="AK117" s="27"/>
      <c r="AO117" s="27"/>
      <c r="AP117" s="27"/>
      <c r="AT117" s="27"/>
      <c r="AU117" s="27"/>
      <c r="AY117" s="27"/>
      <c r="AZ117" s="27"/>
      <c r="BD117" s="27"/>
      <c r="BE117" s="27"/>
      <c r="BI117" s="220"/>
      <c r="BJ117" s="220"/>
      <c r="BN117" s="220"/>
      <c r="BO117" s="220"/>
    </row>
    <row r="118" spans="7:67" x14ac:dyDescent="0.45">
      <c r="G118" s="27"/>
      <c r="H118" s="27"/>
      <c r="K118" s="27"/>
      <c r="L118" s="27"/>
      <c r="P118" s="27"/>
      <c r="Q118" s="27"/>
      <c r="U118" s="27"/>
      <c r="V118" s="27"/>
      <c r="Z118" s="167"/>
      <c r="AA118" s="167"/>
      <c r="AE118" s="27"/>
      <c r="AF118" s="27"/>
      <c r="AJ118" s="27"/>
      <c r="AK118" s="27"/>
      <c r="AO118" s="27"/>
      <c r="AP118" s="27"/>
      <c r="AT118" s="27"/>
      <c r="AU118" s="27"/>
      <c r="AY118" s="27"/>
      <c r="AZ118" s="27"/>
      <c r="BD118" s="27"/>
      <c r="BE118" s="27"/>
      <c r="BI118" s="220"/>
      <c r="BJ118" s="220"/>
      <c r="BN118" s="220"/>
      <c r="BO118" s="220"/>
    </row>
    <row r="119" spans="7:67" x14ac:dyDescent="0.45">
      <c r="G119" s="27"/>
      <c r="H119" s="27"/>
      <c r="K119" s="27"/>
      <c r="L119" s="27"/>
      <c r="P119" s="27"/>
      <c r="Q119" s="27"/>
      <c r="U119" s="27"/>
      <c r="V119" s="27"/>
      <c r="Z119" s="167"/>
      <c r="AA119" s="167"/>
      <c r="AE119" s="27"/>
      <c r="AF119" s="27"/>
      <c r="AJ119" s="27"/>
      <c r="AK119" s="27"/>
      <c r="AO119" s="27"/>
      <c r="AP119" s="27"/>
      <c r="AT119" s="27"/>
      <c r="AU119" s="27"/>
      <c r="AY119" s="27"/>
      <c r="AZ119" s="27"/>
      <c r="BD119" s="27"/>
      <c r="BE119" s="27"/>
      <c r="BI119" s="220"/>
      <c r="BJ119" s="220"/>
      <c r="BN119" s="220"/>
      <c r="BO119" s="220"/>
    </row>
    <row r="120" spans="7:67" x14ac:dyDescent="0.45">
      <c r="G120" s="27"/>
      <c r="H120" s="27"/>
      <c r="K120" s="27"/>
      <c r="L120" s="27"/>
      <c r="P120" s="27"/>
      <c r="Q120" s="27"/>
      <c r="U120" s="27"/>
      <c r="V120" s="27"/>
      <c r="Z120" s="167"/>
      <c r="AA120" s="167"/>
      <c r="AE120" s="27"/>
      <c r="AF120" s="27"/>
      <c r="AJ120" s="27"/>
      <c r="AK120" s="27"/>
      <c r="AO120" s="27"/>
      <c r="AP120" s="27"/>
      <c r="AT120" s="27"/>
      <c r="AU120" s="27"/>
      <c r="AY120" s="27"/>
      <c r="AZ120" s="27"/>
      <c r="BD120" s="27"/>
      <c r="BE120" s="27"/>
      <c r="BI120" s="220"/>
      <c r="BJ120" s="220"/>
      <c r="BN120" s="220"/>
      <c r="BO120" s="220"/>
    </row>
    <row r="121" spans="7:67" x14ac:dyDescent="0.45">
      <c r="G121" s="27"/>
      <c r="H121" s="27"/>
      <c r="K121" s="27"/>
      <c r="L121" s="27"/>
      <c r="P121" s="27"/>
      <c r="Q121" s="27"/>
      <c r="U121" s="27"/>
      <c r="V121" s="27"/>
      <c r="Z121" s="167"/>
      <c r="AA121" s="167"/>
      <c r="AE121" s="27"/>
      <c r="AF121" s="27"/>
      <c r="AJ121" s="27"/>
      <c r="AK121" s="27"/>
      <c r="AO121" s="27"/>
      <c r="AP121" s="27"/>
      <c r="AT121" s="27"/>
      <c r="AU121" s="27"/>
      <c r="AY121" s="27"/>
      <c r="AZ121" s="27"/>
      <c r="BD121" s="27"/>
      <c r="BE121" s="27"/>
      <c r="BI121" s="220"/>
      <c r="BJ121" s="220"/>
      <c r="BN121" s="220"/>
      <c r="BO121" s="220"/>
    </row>
    <row r="122" spans="7:67" x14ac:dyDescent="0.45">
      <c r="G122" s="27"/>
      <c r="H122" s="27"/>
      <c r="K122" s="27"/>
      <c r="L122" s="27"/>
      <c r="P122" s="27"/>
      <c r="Q122" s="27"/>
      <c r="U122" s="27"/>
      <c r="V122" s="27"/>
      <c r="Z122" s="167"/>
      <c r="AA122" s="167"/>
      <c r="AE122" s="27"/>
      <c r="AF122" s="27"/>
      <c r="AJ122" s="27"/>
      <c r="AK122" s="27"/>
      <c r="AO122" s="27"/>
      <c r="AP122" s="27"/>
      <c r="AT122" s="27"/>
      <c r="AU122" s="27"/>
      <c r="AY122" s="27"/>
      <c r="AZ122" s="27"/>
      <c r="BD122" s="27"/>
      <c r="BE122" s="27"/>
      <c r="BI122" s="220"/>
      <c r="BJ122" s="220"/>
      <c r="BN122" s="220"/>
      <c r="BO122" s="220"/>
    </row>
    <row r="123" spans="7:67" x14ac:dyDescent="0.45">
      <c r="G123" s="27"/>
      <c r="H123" s="27"/>
      <c r="K123" s="27"/>
      <c r="L123" s="27"/>
      <c r="P123" s="27"/>
      <c r="Q123" s="27"/>
      <c r="U123" s="27"/>
      <c r="V123" s="27"/>
      <c r="Z123" s="167"/>
      <c r="AA123" s="167"/>
      <c r="AE123" s="27"/>
      <c r="AF123" s="27"/>
      <c r="AJ123" s="27"/>
      <c r="AK123" s="27"/>
      <c r="AO123" s="27"/>
      <c r="AP123" s="27"/>
      <c r="AT123" s="27"/>
      <c r="AU123" s="27"/>
      <c r="AY123" s="27"/>
      <c r="AZ123" s="27"/>
      <c r="BD123" s="27"/>
      <c r="BE123" s="27"/>
      <c r="BI123" s="220"/>
      <c r="BJ123" s="220"/>
      <c r="BN123" s="220"/>
      <c r="BO123" s="220"/>
    </row>
    <row r="124" spans="7:67" x14ac:dyDescent="0.45">
      <c r="G124" s="27"/>
      <c r="H124" s="27"/>
      <c r="K124" s="27"/>
      <c r="L124" s="27"/>
      <c r="P124" s="27"/>
      <c r="Q124" s="27"/>
      <c r="U124" s="27"/>
      <c r="V124" s="27"/>
      <c r="Z124" s="167"/>
      <c r="AA124" s="167"/>
      <c r="AE124" s="27"/>
      <c r="AF124" s="27"/>
      <c r="AJ124" s="27"/>
      <c r="AK124" s="27"/>
      <c r="AO124" s="27"/>
      <c r="AP124" s="27"/>
      <c r="AT124" s="27"/>
      <c r="AU124" s="27"/>
      <c r="AY124" s="27"/>
      <c r="AZ124" s="27"/>
      <c r="BD124" s="27"/>
      <c r="BE124" s="27"/>
      <c r="BI124" s="220"/>
      <c r="BJ124" s="220"/>
      <c r="BN124" s="220"/>
      <c r="BO124" s="220"/>
    </row>
    <row r="125" spans="7:67" x14ac:dyDescent="0.45">
      <c r="G125" s="27"/>
      <c r="H125" s="27"/>
      <c r="K125" s="27"/>
      <c r="L125" s="27"/>
      <c r="P125" s="27"/>
      <c r="Q125" s="27"/>
      <c r="U125" s="27"/>
      <c r="V125" s="27"/>
      <c r="Z125" s="167"/>
      <c r="AA125" s="167"/>
      <c r="AE125" s="27"/>
      <c r="AF125" s="27"/>
      <c r="AJ125" s="27"/>
      <c r="AK125" s="27"/>
      <c r="AO125" s="27"/>
      <c r="AP125" s="27"/>
      <c r="AT125" s="27"/>
      <c r="AU125" s="27"/>
      <c r="AY125" s="27"/>
      <c r="AZ125" s="27"/>
      <c r="BD125" s="27"/>
      <c r="BE125" s="27"/>
      <c r="BI125" s="220"/>
      <c r="BJ125" s="220"/>
      <c r="BN125" s="220"/>
      <c r="BO125" s="220"/>
    </row>
    <row r="126" spans="7:67" x14ac:dyDescent="0.45">
      <c r="G126" s="27"/>
      <c r="H126" s="27"/>
      <c r="K126" s="27"/>
      <c r="L126" s="27"/>
      <c r="P126" s="27"/>
      <c r="Q126" s="27"/>
      <c r="U126" s="27"/>
      <c r="V126" s="27"/>
      <c r="Z126" s="167"/>
      <c r="AA126" s="167"/>
      <c r="AE126" s="27"/>
      <c r="AF126" s="27"/>
      <c r="AJ126" s="27"/>
      <c r="AK126" s="27"/>
      <c r="AO126" s="27"/>
      <c r="AP126" s="27"/>
      <c r="AT126" s="27"/>
      <c r="AU126" s="27"/>
      <c r="AY126" s="27"/>
      <c r="AZ126" s="27"/>
      <c r="BD126" s="27"/>
      <c r="BE126" s="27"/>
      <c r="BI126" s="220"/>
      <c r="BJ126" s="220"/>
      <c r="BN126" s="220"/>
      <c r="BO126" s="220"/>
    </row>
    <row r="127" spans="7:67" x14ac:dyDescent="0.45">
      <c r="G127" s="27"/>
      <c r="H127" s="27"/>
      <c r="K127" s="27"/>
      <c r="L127" s="27"/>
      <c r="P127" s="27"/>
      <c r="Q127" s="27"/>
      <c r="U127" s="27"/>
      <c r="V127" s="27"/>
      <c r="Z127" s="167"/>
      <c r="AA127" s="167"/>
      <c r="AE127" s="27"/>
      <c r="AF127" s="27"/>
      <c r="AJ127" s="27"/>
      <c r="AK127" s="27"/>
      <c r="AO127" s="27"/>
      <c r="AP127" s="27"/>
      <c r="AT127" s="27"/>
      <c r="AU127" s="27"/>
      <c r="AY127" s="27"/>
      <c r="AZ127" s="27"/>
      <c r="BD127" s="27"/>
      <c r="BE127" s="27"/>
      <c r="BI127" s="220"/>
      <c r="BJ127" s="220"/>
      <c r="BN127" s="220"/>
      <c r="BO127" s="220"/>
    </row>
    <row r="128" spans="7:67" x14ac:dyDescent="0.45">
      <c r="G128" s="27"/>
      <c r="H128" s="27"/>
      <c r="K128" s="27"/>
      <c r="L128" s="27"/>
      <c r="P128" s="27"/>
      <c r="Q128" s="27"/>
      <c r="U128" s="27"/>
      <c r="V128" s="27"/>
      <c r="Z128" s="167"/>
      <c r="AA128" s="167"/>
      <c r="AE128" s="27"/>
      <c r="AF128" s="27"/>
      <c r="AJ128" s="27"/>
      <c r="AK128" s="27"/>
      <c r="AO128" s="27"/>
      <c r="AP128" s="27"/>
      <c r="AT128" s="27"/>
      <c r="AU128" s="27"/>
      <c r="AY128" s="27"/>
      <c r="AZ128" s="27"/>
      <c r="BD128" s="27"/>
      <c r="BE128" s="27"/>
      <c r="BI128" s="220"/>
      <c r="BJ128" s="220"/>
      <c r="BN128" s="220"/>
      <c r="BO128" s="220"/>
    </row>
    <row r="129" spans="7:67" x14ac:dyDescent="0.45">
      <c r="G129" s="27"/>
      <c r="H129" s="27"/>
      <c r="K129" s="27"/>
      <c r="L129" s="27"/>
      <c r="P129" s="27"/>
      <c r="Q129" s="27"/>
      <c r="U129" s="27"/>
      <c r="V129" s="27"/>
      <c r="Z129" s="167"/>
      <c r="AA129" s="167"/>
      <c r="AE129" s="27"/>
      <c r="AF129" s="27"/>
      <c r="AJ129" s="27"/>
      <c r="AK129" s="27"/>
      <c r="AO129" s="27"/>
      <c r="AP129" s="27"/>
      <c r="AT129" s="27"/>
      <c r="AU129" s="27"/>
      <c r="AY129" s="27"/>
      <c r="AZ129" s="27"/>
      <c r="BD129" s="27"/>
      <c r="BE129" s="27"/>
      <c r="BI129" s="220"/>
      <c r="BJ129" s="220"/>
      <c r="BN129" s="220"/>
      <c r="BO129" s="220"/>
    </row>
    <row r="130" spans="7:67" x14ac:dyDescent="0.45">
      <c r="G130" s="27"/>
      <c r="H130" s="27"/>
      <c r="K130" s="27"/>
      <c r="L130" s="27"/>
      <c r="P130" s="27"/>
      <c r="Q130" s="27"/>
      <c r="U130" s="27"/>
      <c r="V130" s="27"/>
      <c r="Z130" s="167"/>
      <c r="AA130" s="167"/>
      <c r="AE130" s="27"/>
      <c r="AF130" s="27"/>
      <c r="AJ130" s="27"/>
      <c r="AK130" s="27"/>
      <c r="AO130" s="27"/>
      <c r="AP130" s="27"/>
      <c r="AT130" s="27"/>
      <c r="AU130" s="27"/>
      <c r="AY130" s="27"/>
      <c r="AZ130" s="27"/>
      <c r="BD130" s="27"/>
      <c r="BE130" s="27"/>
      <c r="BI130" s="220"/>
      <c r="BJ130" s="220"/>
      <c r="BN130" s="220"/>
      <c r="BO130" s="220"/>
    </row>
    <row r="131" spans="7:67" x14ac:dyDescent="0.45">
      <c r="G131" s="27"/>
      <c r="H131" s="27"/>
      <c r="K131" s="27"/>
      <c r="L131" s="27"/>
      <c r="P131" s="27"/>
      <c r="Q131" s="27"/>
      <c r="U131" s="27"/>
      <c r="V131" s="27"/>
      <c r="Z131" s="167"/>
      <c r="AA131" s="167"/>
      <c r="AE131" s="27"/>
      <c r="AF131" s="27"/>
      <c r="AJ131" s="27"/>
      <c r="AK131" s="27"/>
      <c r="AO131" s="27"/>
      <c r="AP131" s="27"/>
      <c r="AT131" s="27"/>
      <c r="AU131" s="27"/>
      <c r="AY131" s="27"/>
      <c r="AZ131" s="27"/>
      <c r="BD131" s="27"/>
      <c r="BE131" s="27"/>
      <c r="BI131" s="220"/>
      <c r="BJ131" s="220"/>
      <c r="BN131" s="220"/>
      <c r="BO131" s="220"/>
    </row>
    <row r="132" spans="7:67" x14ac:dyDescent="0.45">
      <c r="G132" s="27"/>
      <c r="H132" s="27"/>
      <c r="K132" s="27"/>
      <c r="L132" s="27"/>
      <c r="P132" s="27"/>
      <c r="Q132" s="27"/>
      <c r="U132" s="27"/>
      <c r="V132" s="27"/>
      <c r="Z132" s="167"/>
      <c r="AA132" s="167"/>
      <c r="AE132" s="27"/>
      <c r="AF132" s="27"/>
      <c r="AJ132" s="27"/>
      <c r="AK132" s="27"/>
      <c r="AO132" s="27"/>
      <c r="AP132" s="27"/>
      <c r="AT132" s="27"/>
      <c r="AU132" s="27"/>
      <c r="AY132" s="27"/>
      <c r="AZ132" s="27"/>
      <c r="BD132" s="27"/>
      <c r="BE132" s="27"/>
      <c r="BI132" s="220"/>
      <c r="BJ132" s="220"/>
      <c r="BN132" s="220"/>
      <c r="BO132" s="220"/>
    </row>
    <row r="133" spans="7:67" x14ac:dyDescent="0.45">
      <c r="G133" s="27"/>
      <c r="H133" s="27"/>
      <c r="K133" s="27"/>
      <c r="L133" s="27"/>
      <c r="P133" s="27"/>
      <c r="Q133" s="27"/>
      <c r="U133" s="27"/>
      <c r="V133" s="27"/>
      <c r="Z133" s="167"/>
      <c r="AA133" s="167"/>
      <c r="AE133" s="27"/>
      <c r="AF133" s="27"/>
      <c r="AJ133" s="27"/>
      <c r="AK133" s="27"/>
      <c r="AO133" s="27"/>
      <c r="AP133" s="27"/>
      <c r="AT133" s="27"/>
      <c r="AU133" s="27"/>
      <c r="AY133" s="27"/>
      <c r="AZ133" s="27"/>
      <c r="BD133" s="27"/>
      <c r="BE133" s="27"/>
      <c r="BI133" s="220"/>
      <c r="BJ133" s="220"/>
      <c r="BN133" s="220"/>
      <c r="BO133" s="220"/>
    </row>
    <row r="134" spans="7:67" x14ac:dyDescent="0.45">
      <c r="G134" s="27"/>
      <c r="H134" s="27"/>
      <c r="K134" s="27"/>
      <c r="L134" s="27"/>
      <c r="P134" s="27"/>
      <c r="Q134" s="27"/>
      <c r="U134" s="27"/>
      <c r="V134" s="27"/>
      <c r="Z134" s="167"/>
      <c r="AA134" s="167"/>
      <c r="AE134" s="27"/>
      <c r="AF134" s="27"/>
      <c r="AJ134" s="27"/>
      <c r="AK134" s="27"/>
      <c r="AO134" s="27"/>
      <c r="AP134" s="27"/>
      <c r="AT134" s="27"/>
      <c r="AU134" s="27"/>
      <c r="AY134" s="27"/>
      <c r="AZ134" s="27"/>
      <c r="BD134" s="27"/>
      <c r="BE134" s="27"/>
      <c r="BI134" s="220"/>
      <c r="BJ134" s="220"/>
      <c r="BN134" s="220"/>
      <c r="BO134" s="220"/>
    </row>
    <row r="135" spans="7:67" x14ac:dyDescent="0.45">
      <c r="G135" s="27"/>
      <c r="H135" s="27"/>
      <c r="K135" s="27"/>
      <c r="L135" s="27"/>
      <c r="P135" s="27"/>
      <c r="Q135" s="27"/>
      <c r="U135" s="27"/>
      <c r="V135" s="27"/>
      <c r="Z135" s="167"/>
      <c r="AA135" s="167"/>
      <c r="AE135" s="27"/>
      <c r="AF135" s="27"/>
      <c r="AJ135" s="27"/>
      <c r="AK135" s="27"/>
      <c r="AO135" s="27"/>
      <c r="AP135" s="27"/>
      <c r="AT135" s="27"/>
      <c r="AU135" s="27"/>
      <c r="AY135" s="27"/>
      <c r="AZ135" s="27"/>
      <c r="BD135" s="27"/>
      <c r="BE135" s="27"/>
      <c r="BI135" s="220"/>
      <c r="BJ135" s="220"/>
      <c r="BN135" s="220"/>
      <c r="BO135" s="220"/>
    </row>
    <row r="136" spans="7:67" x14ac:dyDescent="0.45">
      <c r="G136" s="27"/>
      <c r="H136" s="27"/>
      <c r="K136" s="27"/>
      <c r="L136" s="27"/>
      <c r="P136" s="27"/>
      <c r="Q136" s="27"/>
      <c r="U136" s="27"/>
      <c r="V136" s="27"/>
      <c r="Z136" s="167"/>
      <c r="AA136" s="167"/>
      <c r="AE136" s="27"/>
      <c r="AF136" s="27"/>
      <c r="AJ136" s="27"/>
      <c r="AK136" s="27"/>
      <c r="AO136" s="27"/>
      <c r="AP136" s="27"/>
      <c r="AT136" s="27"/>
      <c r="AU136" s="27"/>
      <c r="AY136" s="27"/>
      <c r="AZ136" s="27"/>
      <c r="BD136" s="27"/>
      <c r="BE136" s="27"/>
      <c r="BI136" s="220"/>
      <c r="BJ136" s="220"/>
      <c r="BN136" s="220"/>
      <c r="BO136" s="220"/>
    </row>
    <row r="137" spans="7:67" x14ac:dyDescent="0.45">
      <c r="G137" s="27"/>
      <c r="H137" s="27"/>
      <c r="K137" s="27"/>
      <c r="L137" s="27"/>
      <c r="P137" s="27"/>
      <c r="Q137" s="27"/>
      <c r="U137" s="27"/>
      <c r="V137" s="27"/>
      <c r="Z137" s="167"/>
      <c r="AA137" s="167"/>
      <c r="AE137" s="27"/>
      <c r="AF137" s="27"/>
      <c r="AJ137" s="27"/>
      <c r="AK137" s="27"/>
      <c r="AO137" s="27"/>
      <c r="AP137" s="27"/>
      <c r="AT137" s="27"/>
      <c r="AU137" s="27"/>
      <c r="AY137" s="27"/>
      <c r="AZ137" s="27"/>
      <c r="BD137" s="27"/>
      <c r="BE137" s="27"/>
      <c r="BI137" s="220"/>
      <c r="BJ137" s="220"/>
      <c r="BN137" s="220"/>
      <c r="BO137" s="220"/>
    </row>
    <row r="138" spans="7:67" x14ac:dyDescent="0.45">
      <c r="G138" s="27"/>
      <c r="H138" s="27"/>
      <c r="K138" s="27"/>
      <c r="L138" s="27"/>
      <c r="P138" s="27"/>
      <c r="Q138" s="27"/>
      <c r="U138" s="27"/>
      <c r="V138" s="27"/>
      <c r="Z138" s="167"/>
      <c r="AA138" s="167"/>
      <c r="AE138" s="27"/>
      <c r="AF138" s="27"/>
      <c r="AJ138" s="27"/>
      <c r="AK138" s="27"/>
      <c r="AO138" s="27"/>
      <c r="AP138" s="27"/>
      <c r="AT138" s="27"/>
      <c r="AU138" s="27"/>
      <c r="AY138" s="27"/>
      <c r="AZ138" s="27"/>
      <c r="BD138" s="27"/>
      <c r="BE138" s="27"/>
      <c r="BI138" s="220"/>
      <c r="BJ138" s="220"/>
      <c r="BN138" s="220"/>
      <c r="BO138" s="220"/>
    </row>
    <row r="139" spans="7:67" x14ac:dyDescent="0.45">
      <c r="G139" s="27"/>
      <c r="H139" s="27"/>
      <c r="K139" s="27"/>
      <c r="L139" s="27"/>
      <c r="P139" s="27"/>
      <c r="Q139" s="27"/>
      <c r="U139" s="27"/>
      <c r="V139" s="27"/>
      <c r="Z139" s="167"/>
      <c r="AA139" s="167"/>
      <c r="AE139" s="27"/>
      <c r="AF139" s="27"/>
      <c r="AJ139" s="27"/>
      <c r="AK139" s="27"/>
      <c r="AO139" s="27"/>
      <c r="AP139" s="27"/>
      <c r="AT139" s="27"/>
      <c r="AU139" s="27"/>
      <c r="AY139" s="27"/>
      <c r="AZ139" s="27"/>
      <c r="BD139" s="27"/>
      <c r="BE139" s="27"/>
      <c r="BI139" s="220"/>
      <c r="BJ139" s="220"/>
      <c r="BN139" s="220"/>
      <c r="BO139" s="220"/>
    </row>
    <row r="140" spans="7:67" x14ac:dyDescent="0.45">
      <c r="G140" s="27"/>
      <c r="H140" s="27"/>
      <c r="K140" s="27"/>
      <c r="L140" s="27"/>
      <c r="P140" s="27"/>
      <c r="Q140" s="27"/>
      <c r="U140" s="27"/>
      <c r="V140" s="27"/>
      <c r="Z140" s="167"/>
      <c r="AA140" s="167"/>
      <c r="AE140" s="27"/>
      <c r="AF140" s="27"/>
      <c r="AJ140" s="27"/>
      <c r="AK140" s="27"/>
      <c r="AO140" s="27"/>
      <c r="AP140" s="27"/>
      <c r="AT140" s="27"/>
      <c r="AU140" s="27"/>
      <c r="AY140" s="27"/>
      <c r="AZ140" s="27"/>
      <c r="BD140" s="27"/>
      <c r="BE140" s="27"/>
      <c r="BI140" s="220"/>
      <c r="BJ140" s="220"/>
      <c r="BN140" s="220"/>
      <c r="BO140" s="220"/>
    </row>
    <row r="141" spans="7:67" x14ac:dyDescent="0.45">
      <c r="G141" s="27"/>
      <c r="H141" s="27"/>
      <c r="K141" s="27"/>
      <c r="L141" s="27"/>
      <c r="P141" s="27"/>
      <c r="Q141" s="27"/>
      <c r="U141" s="27"/>
      <c r="V141" s="27"/>
      <c r="Z141" s="167"/>
      <c r="AA141" s="167"/>
      <c r="AE141" s="27"/>
      <c r="AF141" s="27"/>
      <c r="AJ141" s="27"/>
      <c r="AK141" s="27"/>
      <c r="AO141" s="27"/>
      <c r="AP141" s="27"/>
      <c r="AT141" s="27"/>
      <c r="AU141" s="27"/>
      <c r="AY141" s="27"/>
      <c r="AZ141" s="27"/>
      <c r="BD141" s="27"/>
      <c r="BE141" s="27"/>
      <c r="BI141" s="220"/>
      <c r="BJ141" s="220"/>
      <c r="BN141" s="220"/>
      <c r="BO141" s="220"/>
    </row>
    <row r="142" spans="7:67" x14ac:dyDescent="0.45">
      <c r="G142" s="27"/>
      <c r="H142" s="27"/>
      <c r="K142" s="27"/>
      <c r="L142" s="27"/>
      <c r="P142" s="27"/>
      <c r="Q142" s="27"/>
      <c r="U142" s="27"/>
      <c r="V142" s="27"/>
      <c r="Z142" s="167"/>
      <c r="AA142" s="167"/>
      <c r="AE142" s="27"/>
      <c r="AF142" s="27"/>
      <c r="AJ142" s="27"/>
      <c r="AK142" s="27"/>
      <c r="AO142" s="27"/>
      <c r="AP142" s="27"/>
      <c r="AT142" s="27"/>
      <c r="AU142" s="27"/>
      <c r="AY142" s="27"/>
      <c r="AZ142" s="27"/>
      <c r="BD142" s="27"/>
      <c r="BE142" s="27"/>
      <c r="BI142" s="220"/>
      <c r="BJ142" s="220"/>
      <c r="BN142" s="220"/>
      <c r="BO142" s="220"/>
    </row>
    <row r="143" spans="7:67" x14ac:dyDescent="0.45">
      <c r="G143" s="27"/>
      <c r="H143" s="27"/>
      <c r="K143" s="27"/>
      <c r="L143" s="27"/>
      <c r="P143" s="27"/>
      <c r="Q143" s="27"/>
      <c r="U143" s="27"/>
      <c r="V143" s="27"/>
      <c r="Z143" s="167"/>
      <c r="AA143" s="167"/>
      <c r="AE143" s="27"/>
      <c r="AF143" s="27"/>
      <c r="AJ143" s="27"/>
      <c r="AK143" s="27"/>
      <c r="AO143" s="27"/>
      <c r="AP143" s="27"/>
      <c r="AT143" s="27"/>
      <c r="AU143" s="27"/>
      <c r="AY143" s="27"/>
      <c r="AZ143" s="27"/>
      <c r="BD143" s="27"/>
      <c r="BE143" s="27"/>
      <c r="BI143" s="220"/>
      <c r="BJ143" s="220"/>
      <c r="BN143" s="220"/>
      <c r="BO143" s="220"/>
    </row>
    <row r="144" spans="7:67" x14ac:dyDescent="0.45">
      <c r="G144" s="27"/>
      <c r="H144" s="27"/>
      <c r="K144" s="27"/>
      <c r="L144" s="27"/>
      <c r="P144" s="27"/>
      <c r="Q144" s="27"/>
      <c r="U144" s="27"/>
      <c r="V144" s="27"/>
      <c r="Z144" s="167"/>
      <c r="AA144" s="167"/>
      <c r="AE144" s="27"/>
      <c r="AF144" s="27"/>
      <c r="AJ144" s="27"/>
      <c r="AK144" s="27"/>
      <c r="AO144" s="27"/>
      <c r="AP144" s="27"/>
      <c r="AT144" s="27"/>
      <c r="AU144" s="27"/>
      <c r="AY144" s="27"/>
      <c r="AZ144" s="27"/>
      <c r="BD144" s="27"/>
      <c r="BE144" s="27"/>
      <c r="BI144" s="220"/>
      <c r="BJ144" s="220"/>
      <c r="BN144" s="220"/>
      <c r="BO144" s="220"/>
    </row>
    <row r="145" spans="7:67" x14ac:dyDescent="0.45">
      <c r="G145" s="27"/>
      <c r="H145" s="27"/>
      <c r="K145" s="27"/>
      <c r="L145" s="27"/>
      <c r="P145" s="27"/>
      <c r="Q145" s="27"/>
      <c r="U145" s="27"/>
      <c r="V145" s="27"/>
      <c r="Z145" s="167"/>
      <c r="AA145" s="167"/>
      <c r="AE145" s="27"/>
      <c r="AF145" s="27"/>
      <c r="AJ145" s="27"/>
      <c r="AK145" s="27"/>
      <c r="AO145" s="27"/>
      <c r="AP145" s="27"/>
      <c r="AT145" s="27"/>
      <c r="AU145" s="27"/>
      <c r="AY145" s="27"/>
      <c r="AZ145" s="27"/>
      <c r="BD145" s="27"/>
      <c r="BE145" s="27"/>
      <c r="BI145" s="220"/>
      <c r="BJ145" s="220"/>
      <c r="BN145" s="220"/>
      <c r="BO145" s="220"/>
    </row>
    <row r="146" spans="7:67" x14ac:dyDescent="0.45">
      <c r="G146" s="27"/>
      <c r="H146" s="27"/>
      <c r="K146" s="27"/>
      <c r="L146" s="27"/>
      <c r="P146" s="27"/>
      <c r="Q146" s="27"/>
      <c r="U146" s="27"/>
      <c r="V146" s="27"/>
      <c r="Z146" s="167"/>
      <c r="AA146" s="167"/>
      <c r="AE146" s="27"/>
      <c r="AF146" s="27"/>
      <c r="AJ146" s="27"/>
      <c r="AK146" s="27"/>
      <c r="AO146" s="27"/>
      <c r="AP146" s="27"/>
      <c r="AT146" s="27"/>
      <c r="AU146" s="27"/>
      <c r="AY146" s="27"/>
      <c r="AZ146" s="27"/>
      <c r="BD146" s="27"/>
      <c r="BE146" s="27"/>
      <c r="BI146" s="220"/>
      <c r="BJ146" s="220"/>
      <c r="BN146" s="220"/>
      <c r="BO146" s="220"/>
    </row>
    <row r="147" spans="7:67" x14ac:dyDescent="0.45">
      <c r="G147" s="27"/>
      <c r="H147" s="27"/>
      <c r="K147" s="27"/>
      <c r="L147" s="27"/>
      <c r="P147" s="27"/>
      <c r="Q147" s="27"/>
      <c r="U147" s="27"/>
      <c r="V147" s="27"/>
      <c r="Z147" s="167"/>
      <c r="AA147" s="167"/>
      <c r="AE147" s="27"/>
      <c r="AF147" s="27"/>
      <c r="AJ147" s="27"/>
      <c r="AK147" s="27"/>
      <c r="AO147" s="27"/>
      <c r="AP147" s="27"/>
      <c r="AT147" s="27"/>
      <c r="AU147" s="27"/>
      <c r="AY147" s="27"/>
      <c r="AZ147" s="27"/>
      <c r="BD147" s="27"/>
      <c r="BE147" s="27"/>
      <c r="BI147" s="220"/>
      <c r="BJ147" s="220"/>
      <c r="BN147" s="220"/>
      <c r="BO147" s="220"/>
    </row>
    <row r="148" spans="7:67" x14ac:dyDescent="0.45">
      <c r="G148" s="27"/>
      <c r="H148" s="27"/>
      <c r="K148" s="27"/>
      <c r="L148" s="27"/>
      <c r="P148" s="27"/>
      <c r="Q148" s="27"/>
      <c r="U148" s="27"/>
      <c r="V148" s="27"/>
      <c r="Z148" s="167"/>
      <c r="AA148" s="167"/>
      <c r="AE148" s="27"/>
      <c r="AF148" s="27"/>
      <c r="AJ148" s="27"/>
      <c r="AK148" s="27"/>
      <c r="AO148" s="27"/>
      <c r="AP148" s="27"/>
      <c r="AT148" s="27"/>
      <c r="AU148" s="27"/>
      <c r="AY148" s="27"/>
      <c r="AZ148" s="27"/>
      <c r="BD148" s="27"/>
      <c r="BE148" s="27"/>
      <c r="BI148" s="220"/>
      <c r="BJ148" s="220"/>
      <c r="BN148" s="220"/>
      <c r="BO148" s="220"/>
    </row>
    <row r="149" spans="7:67" x14ac:dyDescent="0.45">
      <c r="G149" s="27"/>
      <c r="H149" s="27"/>
      <c r="K149" s="27"/>
      <c r="L149" s="27"/>
      <c r="P149" s="27"/>
      <c r="Q149" s="27"/>
      <c r="U149" s="27"/>
      <c r="V149" s="27"/>
      <c r="Z149" s="167"/>
      <c r="AA149" s="167"/>
      <c r="AE149" s="27"/>
      <c r="AF149" s="27"/>
      <c r="AJ149" s="27"/>
      <c r="AK149" s="27"/>
      <c r="AO149" s="27"/>
      <c r="AP149" s="27"/>
      <c r="AT149" s="27"/>
      <c r="AU149" s="27"/>
      <c r="AY149" s="27"/>
      <c r="AZ149" s="27"/>
      <c r="BD149" s="27"/>
      <c r="BE149" s="27"/>
      <c r="BI149" s="220"/>
      <c r="BJ149" s="220"/>
      <c r="BN149" s="220"/>
      <c r="BO149" s="220"/>
    </row>
    <row r="150" spans="7:67" x14ac:dyDescent="0.45">
      <c r="G150" s="27"/>
      <c r="H150" s="27"/>
      <c r="K150" s="27"/>
      <c r="L150" s="27"/>
      <c r="P150" s="27"/>
      <c r="Q150" s="27"/>
      <c r="U150" s="27"/>
      <c r="V150" s="27"/>
      <c r="Z150" s="167"/>
      <c r="AA150" s="167"/>
      <c r="AE150" s="27"/>
      <c r="AF150" s="27"/>
      <c r="AJ150" s="27"/>
      <c r="AK150" s="27"/>
      <c r="AO150" s="27"/>
      <c r="AP150" s="27"/>
      <c r="AT150" s="27"/>
      <c r="AU150" s="27"/>
      <c r="AY150" s="27"/>
      <c r="AZ150" s="27"/>
      <c r="BD150" s="27"/>
      <c r="BE150" s="27"/>
      <c r="BI150" s="220"/>
      <c r="BJ150" s="220"/>
      <c r="BN150" s="220"/>
      <c r="BO150" s="220"/>
    </row>
    <row r="151" spans="7:67" x14ac:dyDescent="0.45">
      <c r="G151" s="27"/>
      <c r="H151" s="27"/>
      <c r="K151" s="27"/>
      <c r="L151" s="27"/>
      <c r="P151" s="27"/>
      <c r="Q151" s="27"/>
      <c r="U151" s="27"/>
      <c r="V151" s="27"/>
      <c r="Z151" s="167"/>
      <c r="AA151" s="167"/>
      <c r="AE151" s="27"/>
      <c r="AF151" s="27"/>
      <c r="AJ151" s="27"/>
      <c r="AK151" s="27"/>
      <c r="AO151" s="27"/>
      <c r="AP151" s="27"/>
      <c r="AT151" s="27"/>
      <c r="AU151" s="27"/>
      <c r="AY151" s="27"/>
      <c r="AZ151" s="27"/>
      <c r="BD151" s="27"/>
      <c r="BE151" s="27"/>
      <c r="BI151" s="220"/>
      <c r="BJ151" s="220"/>
      <c r="BN151" s="220"/>
      <c r="BO151" s="220"/>
    </row>
    <row r="152" spans="7:67" x14ac:dyDescent="0.45">
      <c r="G152" s="27"/>
      <c r="H152" s="27"/>
      <c r="K152" s="27"/>
      <c r="L152" s="27"/>
      <c r="P152" s="27"/>
      <c r="Q152" s="27"/>
      <c r="U152" s="27"/>
      <c r="V152" s="27"/>
      <c r="Z152" s="167"/>
      <c r="AA152" s="167"/>
      <c r="AE152" s="27"/>
      <c r="AF152" s="27"/>
      <c r="AJ152" s="27"/>
      <c r="AK152" s="27"/>
      <c r="AO152" s="27"/>
      <c r="AP152" s="27"/>
      <c r="AT152" s="27"/>
      <c r="AU152" s="27"/>
      <c r="AY152" s="27"/>
      <c r="AZ152" s="27"/>
      <c r="BD152" s="27"/>
      <c r="BE152" s="27"/>
      <c r="BI152" s="220"/>
      <c r="BJ152" s="220"/>
      <c r="BN152" s="220"/>
      <c r="BO152" s="220"/>
    </row>
    <row r="153" spans="7:67" x14ac:dyDescent="0.45">
      <c r="G153" s="27"/>
      <c r="H153" s="27"/>
      <c r="K153" s="27"/>
      <c r="L153" s="27"/>
      <c r="P153" s="27"/>
      <c r="Q153" s="27"/>
      <c r="U153" s="27"/>
      <c r="V153" s="27"/>
      <c r="Z153" s="167"/>
      <c r="AA153" s="167"/>
      <c r="AE153" s="27"/>
      <c r="AF153" s="27"/>
      <c r="AJ153" s="27"/>
      <c r="AK153" s="27"/>
      <c r="AO153" s="27"/>
      <c r="AP153" s="27"/>
      <c r="AT153" s="27"/>
      <c r="AU153" s="27"/>
      <c r="AY153" s="27"/>
      <c r="AZ153" s="27"/>
      <c r="BD153" s="27"/>
      <c r="BE153" s="27"/>
      <c r="BI153" s="220"/>
      <c r="BJ153" s="220"/>
      <c r="BN153" s="220"/>
      <c r="BO153" s="220"/>
    </row>
    <row r="154" spans="7:67" x14ac:dyDescent="0.45">
      <c r="G154" s="27"/>
      <c r="H154" s="27"/>
      <c r="K154" s="27"/>
      <c r="L154" s="27"/>
      <c r="P154" s="27"/>
      <c r="Q154" s="27"/>
      <c r="U154" s="27"/>
      <c r="V154" s="27"/>
      <c r="Z154" s="167"/>
      <c r="AA154" s="167"/>
      <c r="AE154" s="27"/>
      <c r="AF154" s="27"/>
      <c r="AJ154" s="27"/>
      <c r="AK154" s="27"/>
      <c r="AO154" s="27"/>
      <c r="AP154" s="27"/>
      <c r="AT154" s="27"/>
      <c r="AU154" s="27"/>
      <c r="AY154" s="27"/>
      <c r="AZ154" s="27"/>
      <c r="BD154" s="27"/>
      <c r="BE154" s="27"/>
      <c r="BI154" s="220"/>
      <c r="BJ154" s="220"/>
      <c r="BN154" s="220"/>
      <c r="BO154" s="220"/>
    </row>
    <row r="155" spans="7:67" x14ac:dyDescent="0.45">
      <c r="G155" s="27"/>
      <c r="H155" s="27"/>
      <c r="K155" s="27"/>
      <c r="L155" s="27"/>
      <c r="P155" s="27"/>
      <c r="Q155" s="27"/>
      <c r="U155" s="27"/>
      <c r="V155" s="27"/>
      <c r="Z155" s="167"/>
      <c r="AA155" s="167"/>
      <c r="AE155" s="27"/>
      <c r="AF155" s="27"/>
      <c r="AJ155" s="27"/>
      <c r="AK155" s="27"/>
      <c r="AO155" s="27"/>
      <c r="AP155" s="27"/>
      <c r="AT155" s="27"/>
      <c r="AU155" s="27"/>
      <c r="AY155" s="27"/>
      <c r="AZ155" s="27"/>
      <c r="BD155" s="27"/>
      <c r="BE155" s="27"/>
      <c r="BI155" s="220"/>
      <c r="BJ155" s="220"/>
      <c r="BN155" s="220"/>
      <c r="BO155" s="220"/>
    </row>
    <row r="156" spans="7:67" x14ac:dyDescent="0.45">
      <c r="G156" s="27"/>
      <c r="H156" s="27"/>
      <c r="K156" s="27"/>
      <c r="L156" s="27"/>
      <c r="P156" s="27"/>
      <c r="Q156" s="27"/>
      <c r="U156" s="27"/>
      <c r="V156" s="27"/>
      <c r="Z156" s="167"/>
      <c r="AA156" s="167"/>
      <c r="AE156" s="27"/>
      <c r="AF156" s="27"/>
      <c r="AJ156" s="27"/>
      <c r="AK156" s="27"/>
      <c r="AO156" s="27"/>
      <c r="AP156" s="27"/>
      <c r="AT156" s="27"/>
      <c r="AU156" s="27"/>
      <c r="AY156" s="27"/>
      <c r="AZ156" s="27"/>
      <c r="BD156" s="27"/>
      <c r="BE156" s="27"/>
      <c r="BI156" s="220"/>
      <c r="BJ156" s="220"/>
      <c r="BN156" s="220"/>
      <c r="BO156" s="220"/>
    </row>
    <row r="157" spans="7:67" x14ac:dyDescent="0.45">
      <c r="G157" s="27"/>
      <c r="H157" s="27"/>
      <c r="K157" s="27"/>
      <c r="L157" s="27"/>
      <c r="P157" s="27"/>
      <c r="Q157" s="27"/>
      <c r="U157" s="27"/>
      <c r="V157" s="27"/>
      <c r="Z157" s="167"/>
      <c r="AA157" s="167"/>
      <c r="AE157" s="27"/>
      <c r="AF157" s="27"/>
      <c r="AJ157" s="27"/>
      <c r="AK157" s="27"/>
      <c r="AO157" s="27"/>
      <c r="AP157" s="27"/>
      <c r="AT157" s="27"/>
      <c r="AU157" s="27"/>
      <c r="AY157" s="27"/>
      <c r="AZ157" s="27"/>
      <c r="BD157" s="27"/>
      <c r="BE157" s="27"/>
      <c r="BI157" s="220"/>
      <c r="BJ157" s="220"/>
      <c r="BN157" s="220"/>
      <c r="BO157" s="220"/>
    </row>
    <row r="158" spans="7:67" x14ac:dyDescent="0.45">
      <c r="G158" s="27"/>
      <c r="H158" s="27"/>
      <c r="K158" s="27"/>
      <c r="L158" s="27"/>
      <c r="P158" s="27"/>
      <c r="Q158" s="27"/>
      <c r="U158" s="27"/>
      <c r="V158" s="27"/>
      <c r="Z158" s="167"/>
      <c r="AA158" s="167"/>
      <c r="AE158" s="27"/>
      <c r="AF158" s="27"/>
      <c r="AJ158" s="27"/>
      <c r="AK158" s="27"/>
      <c r="AO158" s="27"/>
      <c r="AP158" s="27"/>
      <c r="AT158" s="27"/>
      <c r="AU158" s="27"/>
      <c r="AY158" s="27"/>
      <c r="AZ158" s="27"/>
      <c r="BD158" s="27"/>
      <c r="BE158" s="27"/>
      <c r="BI158" s="220"/>
      <c r="BJ158" s="220"/>
      <c r="BN158" s="220"/>
      <c r="BO158" s="220"/>
    </row>
    <row r="159" spans="7:67" x14ac:dyDescent="0.45">
      <c r="G159" s="27"/>
      <c r="H159" s="27"/>
      <c r="K159" s="27"/>
      <c r="L159" s="27"/>
      <c r="P159" s="27"/>
      <c r="Q159" s="27"/>
      <c r="U159" s="27"/>
      <c r="V159" s="27"/>
      <c r="Z159" s="167"/>
      <c r="AA159" s="167"/>
      <c r="AE159" s="27"/>
      <c r="AF159" s="27"/>
      <c r="AJ159" s="27"/>
      <c r="AK159" s="27"/>
      <c r="AO159" s="27"/>
      <c r="AP159" s="27"/>
      <c r="AT159" s="27"/>
      <c r="AU159" s="27"/>
      <c r="AY159" s="27"/>
      <c r="AZ159" s="27"/>
      <c r="BD159" s="27"/>
      <c r="BE159" s="27"/>
      <c r="BI159" s="220"/>
      <c r="BJ159" s="220"/>
      <c r="BN159" s="220"/>
      <c r="BO159" s="220"/>
    </row>
    <row r="160" spans="7:67" x14ac:dyDescent="0.45">
      <c r="G160" s="27"/>
      <c r="H160" s="27"/>
      <c r="K160" s="27"/>
      <c r="L160" s="27"/>
      <c r="P160" s="27"/>
      <c r="Q160" s="27"/>
      <c r="U160" s="27"/>
      <c r="V160" s="27"/>
      <c r="Z160" s="167"/>
      <c r="AA160" s="167"/>
      <c r="AE160" s="27"/>
      <c r="AF160" s="27"/>
      <c r="AJ160" s="27"/>
      <c r="AK160" s="27"/>
      <c r="AO160" s="27"/>
      <c r="AP160" s="27"/>
      <c r="AT160" s="27"/>
      <c r="AU160" s="27"/>
      <c r="AY160" s="27"/>
      <c r="AZ160" s="27"/>
      <c r="BD160" s="27"/>
      <c r="BE160" s="27"/>
      <c r="BI160" s="220"/>
      <c r="BJ160" s="220"/>
      <c r="BN160" s="220"/>
      <c r="BO160" s="220"/>
    </row>
    <row r="161" spans="7:67" x14ac:dyDescent="0.45">
      <c r="G161" s="27"/>
      <c r="H161" s="27"/>
      <c r="K161" s="27"/>
      <c r="L161" s="27"/>
      <c r="P161" s="27"/>
      <c r="Q161" s="27"/>
      <c r="U161" s="27"/>
      <c r="V161" s="27"/>
      <c r="Z161" s="167"/>
      <c r="AA161" s="167"/>
      <c r="AE161" s="27"/>
      <c r="AF161" s="27"/>
      <c r="AJ161" s="27"/>
      <c r="AK161" s="27"/>
      <c r="AO161" s="27"/>
      <c r="AP161" s="27"/>
      <c r="AT161" s="27"/>
      <c r="AU161" s="27"/>
      <c r="AY161" s="27"/>
      <c r="AZ161" s="27"/>
      <c r="BD161" s="27"/>
      <c r="BE161" s="27"/>
      <c r="BI161" s="220"/>
      <c r="BJ161" s="220"/>
      <c r="BN161" s="220"/>
      <c r="BO161" s="220"/>
    </row>
    <row r="162" spans="7:67" x14ac:dyDescent="0.45">
      <c r="G162" s="27"/>
      <c r="H162" s="27"/>
      <c r="K162" s="27"/>
      <c r="L162" s="27"/>
      <c r="P162" s="27"/>
      <c r="Q162" s="27"/>
      <c r="U162" s="27"/>
      <c r="V162" s="27"/>
      <c r="Z162" s="167"/>
      <c r="AA162" s="167"/>
      <c r="AE162" s="27"/>
      <c r="AF162" s="27"/>
      <c r="AJ162" s="27"/>
      <c r="AK162" s="27"/>
      <c r="AO162" s="27"/>
      <c r="AP162" s="27"/>
      <c r="AT162" s="27"/>
      <c r="AU162" s="27"/>
      <c r="AY162" s="27"/>
      <c r="AZ162" s="27"/>
      <c r="BD162" s="27"/>
      <c r="BE162" s="27"/>
      <c r="BI162" s="220"/>
      <c r="BJ162" s="220"/>
      <c r="BN162" s="220"/>
      <c r="BO162" s="220"/>
    </row>
    <row r="163" spans="7:67" x14ac:dyDescent="0.45">
      <c r="G163" s="27"/>
      <c r="H163" s="27"/>
      <c r="K163" s="27"/>
      <c r="L163" s="27"/>
      <c r="P163" s="27"/>
      <c r="Q163" s="27"/>
      <c r="U163" s="27"/>
      <c r="V163" s="27"/>
      <c r="Z163" s="167"/>
      <c r="AA163" s="167"/>
      <c r="AE163" s="27"/>
      <c r="AF163" s="27"/>
      <c r="AJ163" s="27"/>
      <c r="AK163" s="27"/>
      <c r="AO163" s="27"/>
      <c r="AP163" s="27"/>
      <c r="AT163" s="27"/>
      <c r="AU163" s="27"/>
      <c r="AY163" s="27"/>
      <c r="AZ163" s="27"/>
      <c r="BD163" s="27"/>
      <c r="BE163" s="27"/>
      <c r="BI163" s="220"/>
      <c r="BJ163" s="220"/>
      <c r="BN163" s="220"/>
      <c r="BO163" s="220"/>
    </row>
    <row r="164" spans="7:67" x14ac:dyDescent="0.45">
      <c r="G164" s="27"/>
      <c r="H164" s="27"/>
      <c r="K164" s="27"/>
      <c r="L164" s="27"/>
      <c r="P164" s="27"/>
      <c r="Q164" s="27"/>
      <c r="U164" s="27"/>
      <c r="V164" s="27"/>
      <c r="Z164" s="167"/>
      <c r="AA164" s="167"/>
      <c r="AE164" s="27"/>
      <c r="AF164" s="27"/>
      <c r="AJ164" s="27"/>
      <c r="AK164" s="27"/>
      <c r="AO164" s="27"/>
      <c r="AP164" s="27"/>
      <c r="AT164" s="27"/>
      <c r="AU164" s="27"/>
      <c r="AY164" s="27"/>
      <c r="AZ164" s="27"/>
      <c r="BD164" s="27"/>
      <c r="BE164" s="27"/>
      <c r="BI164" s="220"/>
      <c r="BJ164" s="220"/>
      <c r="BN164" s="220"/>
      <c r="BO164" s="220"/>
    </row>
    <row r="165" spans="7:67" x14ac:dyDescent="0.45">
      <c r="G165" s="27"/>
      <c r="H165" s="27"/>
      <c r="K165" s="27"/>
      <c r="L165" s="27"/>
      <c r="P165" s="27"/>
      <c r="Q165" s="27"/>
      <c r="U165" s="27"/>
      <c r="V165" s="27"/>
      <c r="Z165" s="167"/>
      <c r="AA165" s="167"/>
      <c r="AE165" s="27"/>
      <c r="AF165" s="27"/>
      <c r="AJ165" s="27"/>
      <c r="AK165" s="27"/>
      <c r="AO165" s="27"/>
      <c r="AP165" s="27"/>
      <c r="AT165" s="27"/>
      <c r="AU165" s="27"/>
      <c r="AY165" s="27"/>
      <c r="AZ165" s="27"/>
      <c r="BD165" s="27"/>
      <c r="BE165" s="27"/>
      <c r="BI165" s="220"/>
      <c r="BJ165" s="220"/>
      <c r="BN165" s="220"/>
      <c r="BO165" s="220"/>
    </row>
    <row r="166" spans="7:67" x14ac:dyDescent="0.45">
      <c r="G166" s="27"/>
      <c r="H166" s="27"/>
      <c r="K166" s="27"/>
      <c r="L166" s="27"/>
      <c r="P166" s="27"/>
      <c r="Q166" s="27"/>
      <c r="U166" s="27"/>
      <c r="V166" s="27"/>
      <c r="Z166" s="167"/>
      <c r="AA166" s="167"/>
      <c r="AE166" s="27"/>
      <c r="AF166" s="27"/>
      <c r="AJ166" s="27"/>
      <c r="AK166" s="27"/>
      <c r="AO166" s="27"/>
      <c r="AP166" s="27"/>
      <c r="AT166" s="27"/>
      <c r="AU166" s="27"/>
      <c r="AY166" s="27"/>
      <c r="AZ166" s="27"/>
      <c r="BD166" s="27"/>
      <c r="BE166" s="27"/>
      <c r="BI166" s="220"/>
      <c r="BJ166" s="220"/>
      <c r="BN166" s="220"/>
      <c r="BO166" s="220"/>
    </row>
    <row r="167" spans="7:67" x14ac:dyDescent="0.45">
      <c r="G167" s="27"/>
      <c r="H167" s="27"/>
      <c r="K167" s="27"/>
      <c r="L167" s="27"/>
      <c r="P167" s="27"/>
      <c r="Q167" s="27"/>
      <c r="U167" s="27"/>
      <c r="V167" s="27"/>
      <c r="Z167" s="167"/>
      <c r="AA167" s="167"/>
      <c r="AE167" s="27"/>
      <c r="AF167" s="27"/>
      <c r="AJ167" s="27"/>
      <c r="AK167" s="27"/>
      <c r="AO167" s="27"/>
      <c r="AP167" s="27"/>
      <c r="AT167" s="27"/>
      <c r="AU167" s="27"/>
      <c r="AY167" s="27"/>
      <c r="AZ167" s="27"/>
      <c r="BD167" s="27"/>
      <c r="BE167" s="27"/>
      <c r="BI167" s="220"/>
      <c r="BJ167" s="220"/>
      <c r="BN167" s="220"/>
      <c r="BO167" s="220"/>
    </row>
    <row r="168" spans="7:67" x14ac:dyDescent="0.45">
      <c r="G168" s="27"/>
      <c r="H168" s="27"/>
      <c r="K168" s="27"/>
      <c r="L168" s="27"/>
      <c r="P168" s="27"/>
      <c r="Q168" s="27"/>
      <c r="U168" s="27"/>
      <c r="V168" s="27"/>
      <c r="Z168" s="167"/>
      <c r="AA168" s="167"/>
      <c r="AE168" s="27"/>
      <c r="AF168" s="27"/>
      <c r="AJ168" s="27"/>
      <c r="AK168" s="27"/>
      <c r="AO168" s="27"/>
      <c r="AP168" s="27"/>
      <c r="AT168" s="27"/>
      <c r="AU168" s="27"/>
      <c r="AY168" s="27"/>
      <c r="AZ168" s="27"/>
      <c r="BD168" s="27"/>
      <c r="BE168" s="27"/>
      <c r="BI168" s="220"/>
      <c r="BJ168" s="220"/>
      <c r="BN168" s="220"/>
      <c r="BO168" s="220"/>
    </row>
    <row r="169" spans="7:67" x14ac:dyDescent="0.45">
      <c r="G169" s="27"/>
      <c r="H169" s="27"/>
      <c r="K169" s="27"/>
      <c r="L169" s="27"/>
      <c r="P169" s="27"/>
      <c r="Q169" s="27"/>
      <c r="U169" s="27"/>
      <c r="V169" s="27"/>
      <c r="Z169" s="167"/>
      <c r="AA169" s="167"/>
      <c r="AE169" s="27"/>
      <c r="AF169" s="27"/>
      <c r="AJ169" s="27"/>
      <c r="AK169" s="27"/>
      <c r="AO169" s="27"/>
      <c r="AP169" s="27"/>
      <c r="AT169" s="27"/>
      <c r="AU169" s="27"/>
      <c r="AY169" s="27"/>
      <c r="AZ169" s="27"/>
      <c r="BD169" s="27"/>
      <c r="BE169" s="27"/>
      <c r="BI169" s="220"/>
      <c r="BJ169" s="220"/>
      <c r="BN169" s="220"/>
      <c r="BO169" s="220"/>
    </row>
    <row r="170" spans="7:67" x14ac:dyDescent="0.45">
      <c r="G170" s="27"/>
      <c r="H170" s="27"/>
      <c r="K170" s="27"/>
      <c r="L170" s="27"/>
      <c r="P170" s="27"/>
      <c r="Q170" s="27"/>
      <c r="U170" s="27"/>
      <c r="V170" s="27"/>
      <c r="Z170" s="167"/>
      <c r="AA170" s="167"/>
      <c r="AE170" s="27"/>
      <c r="AF170" s="27"/>
      <c r="AJ170" s="27"/>
      <c r="AK170" s="27"/>
      <c r="AO170" s="27"/>
      <c r="AP170" s="27"/>
      <c r="AT170" s="27"/>
      <c r="AU170" s="27"/>
      <c r="AY170" s="27"/>
      <c r="AZ170" s="27"/>
      <c r="BD170" s="27"/>
      <c r="BE170" s="27"/>
      <c r="BI170" s="220"/>
      <c r="BJ170" s="220"/>
      <c r="BN170" s="220"/>
      <c r="BO170" s="220"/>
    </row>
    <row r="171" spans="7:67" x14ac:dyDescent="0.45">
      <c r="G171" s="27"/>
      <c r="H171" s="27"/>
      <c r="K171" s="27"/>
      <c r="L171" s="27"/>
      <c r="P171" s="27"/>
      <c r="Q171" s="27"/>
      <c r="U171" s="27"/>
      <c r="V171" s="27"/>
      <c r="Z171" s="167"/>
      <c r="AA171" s="167"/>
      <c r="AE171" s="27"/>
      <c r="AF171" s="27"/>
      <c r="AJ171" s="27"/>
      <c r="AK171" s="27"/>
      <c r="AO171" s="27"/>
      <c r="AP171" s="27"/>
      <c r="AT171" s="27"/>
      <c r="AU171" s="27"/>
      <c r="AY171" s="27"/>
      <c r="AZ171" s="27"/>
      <c r="BD171" s="27"/>
      <c r="BE171" s="27"/>
      <c r="BI171" s="220"/>
      <c r="BJ171" s="220"/>
      <c r="BN171" s="220"/>
      <c r="BO171" s="220"/>
    </row>
    <row r="172" spans="7:67" x14ac:dyDescent="0.45">
      <c r="G172" s="27"/>
      <c r="H172" s="27"/>
      <c r="K172" s="27"/>
      <c r="L172" s="27"/>
      <c r="P172" s="27"/>
      <c r="Q172" s="27"/>
      <c r="U172" s="27"/>
      <c r="V172" s="27"/>
      <c r="Z172" s="167"/>
      <c r="AA172" s="167"/>
      <c r="AE172" s="27"/>
      <c r="AF172" s="27"/>
      <c r="AJ172" s="27"/>
      <c r="AK172" s="27"/>
      <c r="AO172" s="27"/>
      <c r="AP172" s="27"/>
      <c r="AT172" s="27"/>
      <c r="AU172" s="27"/>
      <c r="AY172" s="27"/>
      <c r="AZ172" s="27"/>
      <c r="BD172" s="27"/>
      <c r="BE172" s="27"/>
      <c r="BI172" s="220"/>
      <c r="BJ172" s="220"/>
      <c r="BN172" s="220"/>
      <c r="BO172" s="220"/>
    </row>
    <row r="173" spans="7:67" x14ac:dyDescent="0.45">
      <c r="G173" s="27"/>
      <c r="H173" s="27"/>
      <c r="K173" s="27"/>
      <c r="L173" s="27"/>
      <c r="P173" s="27"/>
      <c r="Q173" s="27"/>
      <c r="U173" s="27"/>
      <c r="V173" s="27"/>
      <c r="Z173" s="167"/>
      <c r="AA173" s="167"/>
      <c r="AE173" s="27"/>
      <c r="AF173" s="27"/>
      <c r="AJ173" s="27"/>
      <c r="AK173" s="27"/>
      <c r="AO173" s="27"/>
      <c r="AP173" s="27"/>
      <c r="AT173" s="27"/>
      <c r="AU173" s="27"/>
      <c r="AY173" s="27"/>
      <c r="AZ173" s="27"/>
      <c r="BD173" s="27"/>
      <c r="BE173" s="27"/>
      <c r="BI173" s="220"/>
      <c r="BJ173" s="220"/>
      <c r="BN173" s="220"/>
      <c r="BO173" s="220"/>
    </row>
    <row r="174" spans="7:67" x14ac:dyDescent="0.45">
      <c r="G174" s="27"/>
      <c r="H174" s="27"/>
      <c r="K174" s="27"/>
      <c r="L174" s="27"/>
      <c r="P174" s="27"/>
      <c r="Q174" s="27"/>
      <c r="U174" s="27"/>
      <c r="V174" s="27"/>
      <c r="Z174" s="167"/>
      <c r="AA174" s="167"/>
      <c r="AE174" s="27"/>
      <c r="AF174" s="27"/>
      <c r="AJ174" s="27"/>
      <c r="AK174" s="27"/>
      <c r="AO174" s="27"/>
      <c r="AP174" s="27"/>
      <c r="AT174" s="27"/>
      <c r="AU174" s="27"/>
      <c r="AY174" s="27"/>
      <c r="AZ174" s="27"/>
      <c r="BD174" s="27"/>
      <c r="BE174" s="27"/>
      <c r="BI174" s="220"/>
      <c r="BJ174" s="220"/>
      <c r="BN174" s="220"/>
      <c r="BO174" s="220"/>
    </row>
    <row r="175" spans="7:67" x14ac:dyDescent="0.45">
      <c r="G175" s="27"/>
      <c r="H175" s="27"/>
      <c r="K175" s="27"/>
      <c r="L175" s="27"/>
      <c r="P175" s="27"/>
      <c r="Q175" s="27"/>
      <c r="U175" s="27"/>
      <c r="V175" s="27"/>
      <c r="Z175" s="167"/>
      <c r="AA175" s="167"/>
      <c r="AE175" s="27"/>
      <c r="AF175" s="27"/>
      <c r="AJ175" s="27"/>
      <c r="AK175" s="27"/>
      <c r="AO175" s="27"/>
      <c r="AP175" s="27"/>
      <c r="AT175" s="27"/>
      <c r="AU175" s="27"/>
      <c r="AY175" s="27"/>
      <c r="AZ175" s="27"/>
      <c r="BD175" s="27"/>
      <c r="BE175" s="27"/>
      <c r="BI175" s="220"/>
      <c r="BJ175" s="220"/>
      <c r="BN175" s="220"/>
      <c r="BO175" s="220"/>
    </row>
    <row r="176" spans="7:67" x14ac:dyDescent="0.45">
      <c r="G176" s="27"/>
      <c r="H176" s="27"/>
      <c r="K176" s="27"/>
      <c r="L176" s="27"/>
      <c r="P176" s="27"/>
      <c r="Q176" s="27"/>
      <c r="U176" s="27"/>
      <c r="V176" s="27"/>
      <c r="Z176" s="167"/>
      <c r="AA176" s="167"/>
      <c r="AE176" s="27"/>
      <c r="AF176" s="27"/>
      <c r="AJ176" s="27"/>
      <c r="AK176" s="27"/>
      <c r="AO176" s="27"/>
      <c r="AP176" s="27"/>
      <c r="AT176" s="27"/>
      <c r="AU176" s="27"/>
      <c r="AY176" s="27"/>
      <c r="AZ176" s="27"/>
      <c r="BD176" s="27"/>
      <c r="BE176" s="27"/>
      <c r="BI176" s="220"/>
      <c r="BJ176" s="220"/>
      <c r="BN176" s="220"/>
      <c r="BO176" s="220"/>
    </row>
    <row r="177" spans="7:67" x14ac:dyDescent="0.45">
      <c r="G177" s="27"/>
      <c r="H177" s="27"/>
      <c r="K177" s="27"/>
      <c r="L177" s="27"/>
      <c r="P177" s="27"/>
      <c r="Q177" s="27"/>
      <c r="U177" s="27"/>
      <c r="V177" s="27"/>
      <c r="Z177" s="167"/>
      <c r="AA177" s="167"/>
      <c r="AE177" s="27"/>
      <c r="AF177" s="27"/>
      <c r="AJ177" s="27"/>
      <c r="AK177" s="27"/>
      <c r="AO177" s="27"/>
      <c r="AP177" s="27"/>
      <c r="AT177" s="27"/>
      <c r="AU177" s="27"/>
      <c r="AY177" s="27"/>
      <c r="AZ177" s="27"/>
      <c r="BD177" s="27"/>
      <c r="BE177" s="27"/>
      <c r="BI177" s="220"/>
      <c r="BJ177" s="220"/>
      <c r="BN177" s="220"/>
      <c r="BO177" s="220"/>
    </row>
    <row r="178" spans="7:67" x14ac:dyDescent="0.45">
      <c r="G178" s="27"/>
      <c r="H178" s="27"/>
      <c r="K178" s="27"/>
      <c r="L178" s="27"/>
      <c r="P178" s="27"/>
      <c r="Q178" s="27"/>
      <c r="U178" s="27"/>
      <c r="V178" s="27"/>
      <c r="Z178" s="167"/>
      <c r="AA178" s="167"/>
      <c r="AE178" s="27"/>
      <c r="AF178" s="27"/>
      <c r="AJ178" s="27"/>
      <c r="AK178" s="27"/>
      <c r="AO178" s="27"/>
      <c r="AP178" s="27"/>
      <c r="AT178" s="27"/>
      <c r="AU178" s="27"/>
      <c r="AY178" s="27"/>
      <c r="AZ178" s="27"/>
      <c r="BD178" s="27"/>
      <c r="BE178" s="27"/>
      <c r="BI178" s="220"/>
      <c r="BJ178" s="220"/>
      <c r="BN178" s="220"/>
      <c r="BO178" s="220"/>
    </row>
    <row r="179" spans="7:67" x14ac:dyDescent="0.45">
      <c r="G179" s="27"/>
      <c r="H179" s="27"/>
      <c r="K179" s="27"/>
      <c r="L179" s="27"/>
      <c r="P179" s="27"/>
      <c r="Q179" s="27"/>
      <c r="U179" s="27"/>
      <c r="V179" s="27"/>
      <c r="Z179" s="167"/>
      <c r="AA179" s="167"/>
      <c r="AE179" s="27"/>
      <c r="AF179" s="27"/>
      <c r="AJ179" s="27"/>
      <c r="AK179" s="27"/>
      <c r="AO179" s="27"/>
      <c r="AP179" s="27"/>
      <c r="AT179" s="27"/>
      <c r="AU179" s="27"/>
      <c r="AY179" s="27"/>
      <c r="AZ179" s="27"/>
      <c r="BD179" s="27"/>
      <c r="BE179" s="27"/>
      <c r="BI179" s="220"/>
      <c r="BJ179" s="220"/>
      <c r="BN179" s="220"/>
      <c r="BO179" s="220"/>
    </row>
    <row r="180" spans="7:67" x14ac:dyDescent="0.45">
      <c r="G180" s="27"/>
      <c r="H180" s="27"/>
      <c r="K180" s="27"/>
      <c r="L180" s="27"/>
      <c r="P180" s="27"/>
      <c r="Q180" s="27"/>
      <c r="U180" s="27"/>
      <c r="V180" s="27"/>
      <c r="Z180" s="167"/>
      <c r="AA180" s="167"/>
      <c r="AE180" s="27"/>
      <c r="AF180" s="27"/>
      <c r="AJ180" s="27"/>
      <c r="AK180" s="27"/>
      <c r="AO180" s="27"/>
      <c r="AP180" s="27"/>
      <c r="AT180" s="27"/>
      <c r="AU180" s="27"/>
      <c r="AY180" s="27"/>
      <c r="AZ180" s="27"/>
      <c r="BD180" s="27"/>
      <c r="BE180" s="27"/>
      <c r="BI180" s="220"/>
      <c r="BJ180" s="220"/>
      <c r="BN180" s="220"/>
      <c r="BO180" s="220"/>
    </row>
    <row r="181" spans="7:67" x14ac:dyDescent="0.45">
      <c r="G181" s="27"/>
      <c r="H181" s="27"/>
      <c r="K181" s="27"/>
      <c r="L181" s="27"/>
      <c r="P181" s="27"/>
      <c r="Q181" s="27"/>
      <c r="U181" s="27"/>
      <c r="V181" s="27"/>
      <c r="Z181" s="167"/>
      <c r="AA181" s="167"/>
      <c r="AE181" s="27"/>
      <c r="AF181" s="27"/>
      <c r="AJ181" s="27"/>
      <c r="AK181" s="27"/>
      <c r="AO181" s="27"/>
      <c r="AP181" s="27"/>
      <c r="AT181" s="27"/>
      <c r="AU181" s="27"/>
      <c r="AY181" s="27"/>
      <c r="AZ181" s="27"/>
      <c r="BD181" s="27"/>
      <c r="BE181" s="27"/>
      <c r="BI181" s="220"/>
      <c r="BJ181" s="220"/>
      <c r="BN181" s="220"/>
      <c r="BO181" s="220"/>
    </row>
    <row r="182" spans="7:67" x14ac:dyDescent="0.45">
      <c r="G182" s="27"/>
      <c r="H182" s="27"/>
      <c r="K182" s="27"/>
      <c r="L182" s="27"/>
      <c r="P182" s="27"/>
      <c r="Q182" s="27"/>
      <c r="U182" s="27"/>
      <c r="V182" s="27"/>
      <c r="Z182" s="167"/>
      <c r="AA182" s="167"/>
      <c r="AE182" s="27"/>
      <c r="AF182" s="27"/>
      <c r="AJ182" s="27"/>
      <c r="AK182" s="27"/>
      <c r="AO182" s="27"/>
      <c r="AP182" s="27"/>
      <c r="AT182" s="27"/>
      <c r="AU182" s="27"/>
      <c r="AY182" s="27"/>
      <c r="AZ182" s="27"/>
      <c r="BD182" s="27"/>
      <c r="BE182" s="27"/>
      <c r="BI182" s="220"/>
      <c r="BJ182" s="220"/>
      <c r="BN182" s="220"/>
      <c r="BO182" s="220"/>
    </row>
    <row r="183" spans="7:67" x14ac:dyDescent="0.45">
      <c r="G183" s="27"/>
      <c r="H183" s="27"/>
      <c r="K183" s="27"/>
      <c r="L183" s="27"/>
      <c r="P183" s="27"/>
      <c r="Q183" s="27"/>
      <c r="U183" s="27"/>
      <c r="V183" s="27"/>
      <c r="Z183" s="167"/>
      <c r="AA183" s="167"/>
      <c r="AE183" s="27"/>
      <c r="AF183" s="27"/>
      <c r="AJ183" s="27"/>
      <c r="AK183" s="27"/>
      <c r="AO183" s="27"/>
      <c r="AP183" s="27"/>
      <c r="AT183" s="27"/>
      <c r="AU183" s="27"/>
      <c r="AY183" s="27"/>
      <c r="AZ183" s="27"/>
      <c r="BD183" s="27"/>
      <c r="BE183" s="27"/>
      <c r="BI183" s="220"/>
      <c r="BJ183" s="220"/>
      <c r="BN183" s="220"/>
      <c r="BO183" s="220"/>
    </row>
    <row r="184" spans="7:67" x14ac:dyDescent="0.45">
      <c r="G184" s="27"/>
      <c r="H184" s="27"/>
      <c r="K184" s="27"/>
      <c r="L184" s="27"/>
      <c r="P184" s="27"/>
      <c r="Q184" s="27"/>
      <c r="U184" s="27"/>
      <c r="V184" s="27"/>
      <c r="Z184" s="167"/>
      <c r="AA184" s="167"/>
      <c r="AE184" s="27"/>
      <c r="AF184" s="27"/>
      <c r="AJ184" s="27"/>
      <c r="AK184" s="27"/>
      <c r="AO184" s="27"/>
      <c r="AP184" s="27"/>
      <c r="AT184" s="27"/>
      <c r="AU184" s="27"/>
      <c r="AY184" s="27"/>
      <c r="AZ184" s="27"/>
      <c r="BD184" s="27"/>
      <c r="BE184" s="27"/>
      <c r="BI184" s="220"/>
      <c r="BJ184" s="220"/>
      <c r="BN184" s="220"/>
      <c r="BO184" s="220"/>
    </row>
    <row r="185" spans="7:67" x14ac:dyDescent="0.45">
      <c r="G185" s="27"/>
      <c r="H185" s="27"/>
      <c r="K185" s="27"/>
      <c r="L185" s="27"/>
      <c r="P185" s="27"/>
      <c r="Q185" s="27"/>
      <c r="U185" s="27"/>
      <c r="V185" s="27"/>
      <c r="Z185" s="167"/>
      <c r="AA185" s="167"/>
      <c r="AE185" s="27"/>
      <c r="AF185" s="27"/>
      <c r="AJ185" s="27"/>
      <c r="AK185" s="27"/>
      <c r="AO185" s="27"/>
      <c r="AP185" s="27"/>
      <c r="AT185" s="27"/>
      <c r="AU185" s="27"/>
      <c r="AY185" s="27"/>
      <c r="AZ185" s="27"/>
      <c r="BD185" s="27"/>
      <c r="BE185" s="27"/>
      <c r="BI185" s="220"/>
      <c r="BJ185" s="220"/>
      <c r="BN185" s="220"/>
      <c r="BO185" s="220"/>
    </row>
    <row r="186" spans="7:67" x14ac:dyDescent="0.45">
      <c r="G186" s="27"/>
      <c r="H186" s="27"/>
      <c r="K186" s="27"/>
      <c r="L186" s="27"/>
      <c r="P186" s="27"/>
      <c r="Q186" s="27"/>
      <c r="U186" s="27"/>
      <c r="V186" s="27"/>
      <c r="Z186" s="167"/>
      <c r="AA186" s="167"/>
      <c r="AE186" s="27"/>
      <c r="AF186" s="27"/>
      <c r="AJ186" s="27"/>
      <c r="AK186" s="27"/>
      <c r="AO186" s="27"/>
      <c r="AP186" s="27"/>
      <c r="AT186" s="27"/>
      <c r="AU186" s="27"/>
      <c r="AY186" s="27"/>
      <c r="AZ186" s="27"/>
      <c r="BD186" s="27"/>
      <c r="BE186" s="27"/>
      <c r="BI186" s="220"/>
      <c r="BJ186" s="220"/>
      <c r="BN186" s="220"/>
      <c r="BO186" s="220"/>
    </row>
    <row r="187" spans="7:67" x14ac:dyDescent="0.45">
      <c r="G187" s="27"/>
      <c r="H187" s="27"/>
      <c r="K187" s="27"/>
      <c r="L187" s="27"/>
      <c r="P187" s="27"/>
      <c r="Q187" s="27"/>
      <c r="U187" s="27"/>
      <c r="V187" s="27"/>
      <c r="Z187" s="167"/>
      <c r="AA187" s="167"/>
      <c r="AE187" s="27"/>
      <c r="AF187" s="27"/>
      <c r="AJ187" s="27"/>
      <c r="AK187" s="27"/>
      <c r="AO187" s="27"/>
      <c r="AP187" s="27"/>
      <c r="AT187" s="27"/>
      <c r="AU187" s="27"/>
      <c r="AY187" s="27"/>
      <c r="AZ187" s="27"/>
      <c r="BD187" s="27"/>
      <c r="BE187" s="27"/>
      <c r="BI187" s="220"/>
      <c r="BJ187" s="220"/>
      <c r="BN187" s="220"/>
      <c r="BO187" s="220"/>
    </row>
    <row r="188" spans="7:67" x14ac:dyDescent="0.45">
      <c r="G188" s="27"/>
      <c r="H188" s="27"/>
      <c r="K188" s="27"/>
      <c r="L188" s="27"/>
      <c r="P188" s="27"/>
      <c r="Q188" s="27"/>
      <c r="U188" s="27"/>
      <c r="V188" s="27"/>
      <c r="Z188" s="167"/>
      <c r="AA188" s="167"/>
      <c r="AE188" s="27"/>
      <c r="AF188" s="27"/>
      <c r="AJ188" s="27"/>
      <c r="AK188" s="27"/>
      <c r="AO188" s="27"/>
      <c r="AP188" s="27"/>
      <c r="AT188" s="27"/>
      <c r="AU188" s="27"/>
      <c r="AY188" s="27"/>
      <c r="AZ188" s="27"/>
      <c r="BD188" s="27"/>
      <c r="BE188" s="27"/>
      <c r="BI188" s="220"/>
      <c r="BJ188" s="220"/>
      <c r="BN188" s="220"/>
      <c r="BO188" s="220"/>
    </row>
    <row r="189" spans="7:67" x14ac:dyDescent="0.45">
      <c r="G189" s="27"/>
      <c r="H189" s="27"/>
      <c r="K189" s="27"/>
      <c r="L189" s="27"/>
      <c r="P189" s="27"/>
      <c r="Q189" s="27"/>
      <c r="U189" s="27"/>
      <c r="V189" s="27"/>
      <c r="Z189" s="167"/>
      <c r="AA189" s="167"/>
      <c r="AE189" s="27"/>
      <c r="AF189" s="27"/>
      <c r="AJ189" s="27"/>
      <c r="AK189" s="27"/>
      <c r="AO189" s="27"/>
      <c r="AP189" s="27"/>
      <c r="AT189" s="27"/>
      <c r="AU189" s="27"/>
      <c r="AY189" s="27"/>
      <c r="AZ189" s="27"/>
      <c r="BD189" s="27"/>
      <c r="BE189" s="27"/>
      <c r="BI189" s="220"/>
      <c r="BJ189" s="220"/>
      <c r="BN189" s="220"/>
      <c r="BO189" s="220"/>
    </row>
    <row r="190" spans="7:67" x14ac:dyDescent="0.45">
      <c r="G190" s="27"/>
      <c r="H190" s="27"/>
      <c r="K190" s="27"/>
      <c r="L190" s="27"/>
      <c r="P190" s="27"/>
      <c r="Q190" s="27"/>
      <c r="U190" s="27"/>
      <c r="V190" s="27"/>
      <c r="Z190" s="167"/>
      <c r="AA190" s="167"/>
      <c r="AE190" s="27"/>
      <c r="AF190" s="27"/>
      <c r="AJ190" s="27"/>
      <c r="AK190" s="27"/>
      <c r="AO190" s="27"/>
      <c r="AP190" s="27"/>
      <c r="AT190" s="27"/>
      <c r="AU190" s="27"/>
      <c r="AY190" s="27"/>
      <c r="AZ190" s="27"/>
      <c r="BD190" s="27"/>
      <c r="BE190" s="27"/>
      <c r="BI190" s="220"/>
      <c r="BJ190" s="220"/>
      <c r="BN190" s="220"/>
      <c r="BO190" s="220"/>
    </row>
    <row r="191" spans="7:67" x14ac:dyDescent="0.45">
      <c r="G191" s="27"/>
      <c r="H191" s="27"/>
      <c r="K191" s="27"/>
      <c r="L191" s="27"/>
      <c r="P191" s="27"/>
      <c r="Q191" s="27"/>
      <c r="U191" s="27"/>
      <c r="V191" s="27"/>
      <c r="Z191" s="167"/>
      <c r="AA191" s="167"/>
      <c r="AE191" s="27"/>
      <c r="AF191" s="27"/>
      <c r="AJ191" s="27"/>
      <c r="AK191" s="27"/>
      <c r="AO191" s="27"/>
      <c r="AP191" s="27"/>
      <c r="AT191" s="27"/>
      <c r="AU191" s="27"/>
      <c r="AY191" s="27"/>
      <c r="AZ191" s="27"/>
      <c r="BD191" s="27"/>
      <c r="BE191" s="27"/>
      <c r="BI191" s="220"/>
      <c r="BJ191" s="220"/>
      <c r="BN191" s="220"/>
      <c r="BO191" s="220"/>
    </row>
    <row r="192" spans="7:67" x14ac:dyDescent="0.45">
      <c r="G192" s="27"/>
      <c r="H192" s="27"/>
      <c r="K192" s="27"/>
      <c r="L192" s="27"/>
      <c r="P192" s="27"/>
      <c r="Q192" s="27"/>
      <c r="U192" s="27"/>
      <c r="V192" s="27"/>
      <c r="Z192" s="167"/>
      <c r="AA192" s="167"/>
      <c r="AE192" s="27"/>
      <c r="AF192" s="27"/>
      <c r="AJ192" s="27"/>
      <c r="AK192" s="27"/>
      <c r="AO192" s="27"/>
      <c r="AP192" s="27"/>
      <c r="AT192" s="27"/>
      <c r="AU192" s="27"/>
      <c r="AY192" s="27"/>
      <c r="AZ192" s="27"/>
      <c r="BD192" s="27"/>
      <c r="BE192" s="27"/>
      <c r="BI192" s="220"/>
      <c r="BJ192" s="220"/>
      <c r="BN192" s="220"/>
      <c r="BO192" s="220"/>
    </row>
    <row r="193" spans="7:67" x14ac:dyDescent="0.45">
      <c r="G193" s="27"/>
      <c r="H193" s="27"/>
      <c r="K193" s="27"/>
      <c r="L193" s="27"/>
      <c r="P193" s="27"/>
      <c r="Q193" s="27"/>
      <c r="U193" s="27"/>
      <c r="V193" s="27"/>
      <c r="Z193" s="167"/>
      <c r="AA193" s="167"/>
      <c r="AE193" s="27"/>
      <c r="AF193" s="27"/>
      <c r="AJ193" s="27"/>
      <c r="AK193" s="27"/>
      <c r="AO193" s="27"/>
      <c r="AP193" s="27"/>
      <c r="AT193" s="27"/>
      <c r="AU193" s="27"/>
      <c r="AY193" s="27"/>
      <c r="AZ193" s="27"/>
      <c r="BD193" s="27"/>
      <c r="BE193" s="27"/>
      <c r="BI193" s="220"/>
      <c r="BJ193" s="220"/>
      <c r="BN193" s="220"/>
      <c r="BO193" s="220"/>
    </row>
    <row r="194" spans="7:67" x14ac:dyDescent="0.45">
      <c r="G194" s="27"/>
      <c r="H194" s="27"/>
      <c r="K194" s="27"/>
      <c r="L194" s="27"/>
      <c r="P194" s="27"/>
      <c r="Q194" s="27"/>
      <c r="U194" s="27"/>
      <c r="V194" s="27"/>
      <c r="Z194" s="167"/>
      <c r="AA194" s="167"/>
      <c r="AE194" s="27"/>
      <c r="AF194" s="27"/>
      <c r="AJ194" s="27"/>
      <c r="AK194" s="27"/>
      <c r="AO194" s="27"/>
      <c r="AP194" s="27"/>
      <c r="AT194" s="27"/>
      <c r="AU194" s="27"/>
      <c r="AY194" s="27"/>
      <c r="AZ194" s="27"/>
      <c r="BD194" s="27"/>
      <c r="BE194" s="27"/>
      <c r="BI194" s="220"/>
      <c r="BJ194" s="220"/>
      <c r="BN194" s="220"/>
      <c r="BO194" s="220"/>
    </row>
    <row r="195" spans="7:67" x14ac:dyDescent="0.45">
      <c r="G195" s="27"/>
      <c r="H195" s="27"/>
      <c r="K195" s="27"/>
      <c r="L195" s="27"/>
      <c r="P195" s="27"/>
      <c r="Q195" s="27"/>
      <c r="U195" s="27"/>
      <c r="V195" s="27"/>
      <c r="Z195" s="167"/>
      <c r="AA195" s="167"/>
      <c r="AE195" s="27"/>
      <c r="AF195" s="27"/>
      <c r="AJ195" s="27"/>
      <c r="AK195" s="27"/>
      <c r="AO195" s="27"/>
      <c r="AP195" s="27"/>
      <c r="AT195" s="27"/>
      <c r="AU195" s="27"/>
      <c r="AY195" s="27"/>
      <c r="AZ195" s="27"/>
      <c r="BD195" s="27"/>
      <c r="BE195" s="27"/>
      <c r="BI195" s="220"/>
      <c r="BJ195" s="220"/>
      <c r="BN195" s="220"/>
      <c r="BO195" s="220"/>
    </row>
    <row r="196" spans="7:67" x14ac:dyDescent="0.45">
      <c r="G196" s="27"/>
      <c r="H196" s="27"/>
      <c r="K196" s="27"/>
      <c r="L196" s="27"/>
      <c r="P196" s="27"/>
      <c r="Q196" s="27"/>
      <c r="U196" s="27"/>
      <c r="V196" s="27"/>
      <c r="Z196" s="167"/>
      <c r="AA196" s="167"/>
      <c r="AE196" s="27"/>
      <c r="AF196" s="27"/>
      <c r="AJ196" s="27"/>
      <c r="AK196" s="27"/>
      <c r="AO196" s="27"/>
      <c r="AP196" s="27"/>
      <c r="AT196" s="27"/>
      <c r="AU196" s="27"/>
      <c r="AY196" s="27"/>
      <c r="AZ196" s="27"/>
      <c r="BD196" s="27"/>
      <c r="BE196" s="27"/>
      <c r="BI196" s="220"/>
      <c r="BJ196" s="220"/>
      <c r="BN196" s="220"/>
      <c r="BO196" s="220"/>
    </row>
    <row r="197" spans="7:67" x14ac:dyDescent="0.45">
      <c r="G197" s="27"/>
      <c r="H197" s="27"/>
      <c r="K197" s="27"/>
      <c r="L197" s="27"/>
      <c r="P197" s="27"/>
      <c r="Q197" s="27"/>
      <c r="U197" s="27"/>
      <c r="V197" s="27"/>
      <c r="Z197" s="167"/>
      <c r="AA197" s="167"/>
      <c r="AE197" s="27"/>
      <c r="AF197" s="27"/>
      <c r="AJ197" s="27"/>
      <c r="AK197" s="27"/>
      <c r="AO197" s="27"/>
      <c r="AP197" s="27"/>
      <c r="AT197" s="27"/>
      <c r="AU197" s="27"/>
      <c r="AY197" s="27"/>
      <c r="AZ197" s="27"/>
      <c r="BD197" s="27"/>
      <c r="BE197" s="27"/>
      <c r="BI197" s="220"/>
      <c r="BJ197" s="220"/>
      <c r="BN197" s="220"/>
      <c r="BO197" s="220"/>
    </row>
    <row r="198" spans="7:67" x14ac:dyDescent="0.45">
      <c r="G198" s="27"/>
      <c r="H198" s="27"/>
      <c r="K198" s="27"/>
      <c r="L198" s="27"/>
      <c r="P198" s="27"/>
      <c r="Q198" s="27"/>
      <c r="U198" s="27"/>
      <c r="V198" s="27"/>
      <c r="Z198" s="167"/>
      <c r="AA198" s="167"/>
      <c r="AE198" s="27"/>
      <c r="AF198" s="27"/>
      <c r="AJ198" s="27"/>
      <c r="AK198" s="27"/>
      <c r="AO198" s="27"/>
      <c r="AP198" s="27"/>
      <c r="AT198" s="27"/>
      <c r="AU198" s="27"/>
      <c r="AY198" s="27"/>
      <c r="AZ198" s="27"/>
      <c r="BD198" s="27"/>
      <c r="BE198" s="27"/>
      <c r="BI198" s="220"/>
      <c r="BJ198" s="220"/>
      <c r="BN198" s="220"/>
      <c r="BO198" s="220"/>
    </row>
    <row r="199" spans="7:67" x14ac:dyDescent="0.45">
      <c r="G199" s="27"/>
      <c r="H199" s="27"/>
      <c r="K199" s="27"/>
      <c r="L199" s="27"/>
      <c r="P199" s="27"/>
      <c r="Q199" s="27"/>
      <c r="U199" s="27"/>
      <c r="V199" s="27"/>
      <c r="Z199" s="167"/>
      <c r="AA199" s="167"/>
      <c r="AE199" s="27"/>
      <c r="AF199" s="27"/>
      <c r="AJ199" s="27"/>
      <c r="AK199" s="27"/>
      <c r="AO199" s="27"/>
      <c r="AP199" s="27"/>
      <c r="AT199" s="27"/>
      <c r="AU199" s="27"/>
      <c r="AY199" s="27"/>
      <c r="AZ199" s="27"/>
      <c r="BD199" s="27"/>
      <c r="BE199" s="27"/>
      <c r="BI199" s="220"/>
      <c r="BJ199" s="220"/>
      <c r="BN199" s="220"/>
      <c r="BO199" s="220"/>
    </row>
    <row r="200" spans="7:67" x14ac:dyDescent="0.45">
      <c r="G200" s="27"/>
      <c r="H200" s="27"/>
      <c r="K200" s="27"/>
      <c r="L200" s="27"/>
      <c r="P200" s="27"/>
      <c r="Q200" s="27"/>
      <c r="U200" s="27"/>
      <c r="V200" s="27"/>
      <c r="Z200" s="167"/>
      <c r="AA200" s="167"/>
      <c r="AE200" s="27"/>
      <c r="AF200" s="27"/>
      <c r="AJ200" s="27"/>
      <c r="AK200" s="27"/>
      <c r="AO200" s="27"/>
      <c r="AP200" s="27"/>
      <c r="AT200" s="27"/>
      <c r="AU200" s="27"/>
      <c r="AY200" s="27"/>
      <c r="AZ200" s="27"/>
      <c r="BD200" s="27"/>
      <c r="BE200" s="27"/>
      <c r="BI200" s="220"/>
      <c r="BJ200" s="220"/>
      <c r="BN200" s="220"/>
      <c r="BO200" s="220"/>
    </row>
    <row r="201" spans="7:67" x14ac:dyDescent="0.45">
      <c r="G201" s="27"/>
      <c r="H201" s="27"/>
      <c r="K201" s="27"/>
      <c r="L201" s="27"/>
      <c r="P201" s="27"/>
      <c r="Q201" s="27"/>
      <c r="U201" s="27"/>
      <c r="V201" s="27"/>
      <c r="Z201" s="167"/>
      <c r="AA201" s="167"/>
      <c r="AE201" s="27"/>
      <c r="AF201" s="27"/>
      <c r="AJ201" s="27"/>
      <c r="AK201" s="27"/>
      <c r="AO201" s="27"/>
      <c r="AP201" s="27"/>
      <c r="AT201" s="27"/>
      <c r="AU201" s="27"/>
      <c r="AY201" s="27"/>
      <c r="AZ201" s="27"/>
      <c r="BD201" s="27"/>
      <c r="BE201" s="27"/>
      <c r="BI201" s="220"/>
      <c r="BJ201" s="220"/>
      <c r="BN201" s="220"/>
      <c r="BO201" s="220"/>
    </row>
    <row r="202" spans="7:67" x14ac:dyDescent="0.45">
      <c r="G202" s="27"/>
      <c r="H202" s="27"/>
      <c r="K202" s="27"/>
      <c r="L202" s="27"/>
      <c r="P202" s="27"/>
      <c r="Q202" s="27"/>
      <c r="U202" s="27"/>
      <c r="V202" s="27"/>
      <c r="Z202" s="167"/>
      <c r="AA202" s="167"/>
      <c r="AE202" s="27"/>
      <c r="AF202" s="27"/>
      <c r="AJ202" s="27"/>
      <c r="AK202" s="27"/>
      <c r="AO202" s="27"/>
      <c r="AP202" s="27"/>
      <c r="AT202" s="27"/>
      <c r="AU202" s="27"/>
      <c r="AY202" s="27"/>
      <c r="AZ202" s="27"/>
      <c r="BD202" s="27"/>
      <c r="BE202" s="27"/>
      <c r="BI202" s="220"/>
      <c r="BJ202" s="220"/>
      <c r="BN202" s="220"/>
      <c r="BO202" s="220"/>
    </row>
    <row r="203" spans="7:67" x14ac:dyDescent="0.45">
      <c r="G203" s="27"/>
      <c r="H203" s="27"/>
      <c r="K203" s="27"/>
      <c r="L203" s="27"/>
      <c r="P203" s="27"/>
      <c r="Q203" s="27"/>
      <c r="U203" s="27"/>
      <c r="V203" s="27"/>
      <c r="Z203" s="167"/>
      <c r="AA203" s="167"/>
      <c r="AE203" s="27"/>
      <c r="AF203" s="27"/>
      <c r="AJ203" s="27"/>
      <c r="AK203" s="27"/>
      <c r="AO203" s="27"/>
      <c r="AP203" s="27"/>
      <c r="AT203" s="27"/>
      <c r="AU203" s="27"/>
      <c r="AY203" s="27"/>
      <c r="AZ203" s="27"/>
      <c r="BD203" s="27"/>
      <c r="BE203" s="27"/>
      <c r="BI203" s="220"/>
      <c r="BJ203" s="220"/>
      <c r="BN203" s="220"/>
      <c r="BO203" s="220"/>
    </row>
    <row r="204" spans="7:67" x14ac:dyDescent="0.45">
      <c r="G204" s="27"/>
      <c r="H204" s="27"/>
      <c r="K204" s="27"/>
      <c r="L204" s="27"/>
      <c r="P204" s="27"/>
      <c r="Q204" s="27"/>
      <c r="U204" s="27"/>
      <c r="V204" s="27"/>
      <c r="Z204" s="167"/>
      <c r="AA204" s="167"/>
      <c r="AE204" s="27"/>
      <c r="AF204" s="27"/>
      <c r="AJ204" s="27"/>
      <c r="AK204" s="27"/>
      <c r="AO204" s="27"/>
      <c r="AP204" s="27"/>
      <c r="AT204" s="27"/>
      <c r="AU204" s="27"/>
      <c r="AY204" s="27"/>
      <c r="AZ204" s="27"/>
      <c r="BD204" s="27"/>
      <c r="BE204" s="27"/>
      <c r="BI204" s="220"/>
      <c r="BJ204" s="220"/>
      <c r="BN204" s="220"/>
      <c r="BO204" s="220"/>
    </row>
    <row r="205" spans="7:67" x14ac:dyDescent="0.45">
      <c r="G205" s="27"/>
      <c r="H205" s="27"/>
      <c r="K205" s="27"/>
      <c r="L205" s="27"/>
      <c r="P205" s="27"/>
      <c r="Q205" s="27"/>
      <c r="U205" s="27"/>
      <c r="V205" s="27"/>
      <c r="Z205" s="167"/>
      <c r="AA205" s="167"/>
      <c r="AE205" s="27"/>
      <c r="AF205" s="27"/>
      <c r="AJ205" s="27"/>
      <c r="AK205" s="27"/>
      <c r="AO205" s="27"/>
      <c r="AP205" s="27"/>
      <c r="AT205" s="27"/>
      <c r="AU205" s="27"/>
      <c r="AY205" s="27"/>
      <c r="AZ205" s="27"/>
      <c r="BD205" s="27"/>
      <c r="BE205" s="27"/>
      <c r="BI205" s="220"/>
      <c r="BJ205" s="220"/>
      <c r="BN205" s="220"/>
      <c r="BO205" s="220"/>
    </row>
    <row r="206" spans="7:67" x14ac:dyDescent="0.45">
      <c r="G206" s="27"/>
      <c r="H206" s="27"/>
      <c r="K206" s="27"/>
      <c r="L206" s="27"/>
      <c r="P206" s="27"/>
      <c r="Q206" s="27"/>
      <c r="U206" s="27"/>
      <c r="V206" s="27"/>
      <c r="Z206" s="167"/>
      <c r="AA206" s="167"/>
      <c r="AE206" s="27"/>
      <c r="AF206" s="27"/>
      <c r="AJ206" s="27"/>
      <c r="AK206" s="27"/>
      <c r="AO206" s="27"/>
      <c r="AP206" s="27"/>
      <c r="AT206" s="27"/>
      <c r="AU206" s="27"/>
      <c r="AY206" s="27"/>
      <c r="AZ206" s="27"/>
      <c r="BD206" s="27"/>
      <c r="BE206" s="27"/>
      <c r="BI206" s="220"/>
      <c r="BJ206" s="220"/>
      <c r="BN206" s="220"/>
      <c r="BO206" s="220"/>
    </row>
    <row r="207" spans="7:67" x14ac:dyDescent="0.45">
      <c r="G207" s="27"/>
      <c r="H207" s="27"/>
      <c r="K207" s="27"/>
      <c r="L207" s="27"/>
      <c r="P207" s="27"/>
      <c r="Q207" s="27"/>
      <c r="U207" s="27"/>
      <c r="V207" s="27"/>
      <c r="Z207" s="167"/>
      <c r="AA207" s="167"/>
      <c r="AE207" s="27"/>
      <c r="AF207" s="27"/>
      <c r="AJ207" s="27"/>
      <c r="AK207" s="27"/>
      <c r="AO207" s="27"/>
      <c r="AP207" s="27"/>
      <c r="AT207" s="27"/>
      <c r="AU207" s="27"/>
      <c r="AY207" s="27"/>
      <c r="AZ207" s="27"/>
      <c r="BD207" s="27"/>
      <c r="BE207" s="27"/>
      <c r="BI207" s="220"/>
      <c r="BJ207" s="220"/>
      <c r="BN207" s="220"/>
      <c r="BO207" s="220"/>
    </row>
    <row r="208" spans="7:67" x14ac:dyDescent="0.45">
      <c r="G208" s="27"/>
      <c r="H208" s="27"/>
      <c r="K208" s="27"/>
      <c r="L208" s="27"/>
      <c r="P208" s="27"/>
      <c r="Q208" s="27"/>
      <c r="U208" s="27"/>
      <c r="V208" s="27"/>
      <c r="Z208" s="167"/>
      <c r="AA208" s="167"/>
      <c r="AE208" s="27"/>
      <c r="AF208" s="27"/>
      <c r="AJ208" s="27"/>
      <c r="AK208" s="27"/>
      <c r="AO208" s="27"/>
      <c r="AP208" s="27"/>
      <c r="AT208" s="27"/>
      <c r="AU208" s="27"/>
      <c r="AY208" s="27"/>
      <c r="AZ208" s="27"/>
      <c r="BD208" s="27"/>
      <c r="BE208" s="27"/>
      <c r="BI208" s="220"/>
      <c r="BJ208" s="220"/>
      <c r="BN208" s="220"/>
      <c r="BO208" s="220"/>
    </row>
    <row r="209" spans="7:67" x14ac:dyDescent="0.45">
      <c r="G209" s="27"/>
      <c r="H209" s="27"/>
      <c r="K209" s="27"/>
      <c r="L209" s="27"/>
      <c r="P209" s="27"/>
      <c r="Q209" s="27"/>
      <c r="U209" s="27"/>
      <c r="V209" s="27"/>
      <c r="Z209" s="167"/>
      <c r="AA209" s="167"/>
      <c r="AE209" s="27"/>
      <c r="AF209" s="27"/>
      <c r="AJ209" s="27"/>
      <c r="AK209" s="27"/>
      <c r="AO209" s="27"/>
      <c r="AP209" s="27"/>
      <c r="AT209" s="27"/>
      <c r="AU209" s="27"/>
      <c r="AY209" s="27"/>
      <c r="AZ209" s="27"/>
      <c r="BD209" s="27"/>
      <c r="BE209" s="27"/>
      <c r="BI209" s="220"/>
      <c r="BJ209" s="220"/>
      <c r="BN209" s="220"/>
      <c r="BO209" s="220"/>
    </row>
    <row r="210" spans="7:67" x14ac:dyDescent="0.45">
      <c r="G210" s="27"/>
      <c r="H210" s="27"/>
      <c r="K210" s="27"/>
      <c r="L210" s="27"/>
      <c r="P210" s="27"/>
      <c r="Q210" s="27"/>
      <c r="U210" s="27"/>
      <c r="V210" s="27"/>
      <c r="Z210" s="167"/>
      <c r="AA210" s="167"/>
      <c r="AE210" s="27"/>
      <c r="AF210" s="27"/>
      <c r="AJ210" s="27"/>
      <c r="AK210" s="27"/>
      <c r="AO210" s="27"/>
      <c r="AP210" s="27"/>
      <c r="AT210" s="27"/>
      <c r="AU210" s="27"/>
      <c r="AY210" s="27"/>
      <c r="AZ210" s="27"/>
      <c r="BD210" s="27"/>
      <c r="BE210" s="27"/>
      <c r="BI210" s="220"/>
      <c r="BJ210" s="220"/>
      <c r="BN210" s="220"/>
      <c r="BO210" s="220"/>
    </row>
    <row r="211" spans="7:67" x14ac:dyDescent="0.45">
      <c r="G211" s="27"/>
      <c r="H211" s="27"/>
      <c r="K211" s="27"/>
      <c r="L211" s="27"/>
      <c r="P211" s="27"/>
      <c r="Q211" s="27"/>
      <c r="U211" s="27"/>
      <c r="V211" s="27"/>
      <c r="Z211" s="167"/>
      <c r="AA211" s="167"/>
      <c r="AE211" s="27"/>
      <c r="AF211" s="27"/>
      <c r="AJ211" s="27"/>
      <c r="AK211" s="27"/>
      <c r="AO211" s="27"/>
      <c r="AP211" s="27"/>
      <c r="AT211" s="27"/>
      <c r="AU211" s="27"/>
      <c r="AY211" s="27"/>
      <c r="AZ211" s="27"/>
      <c r="BD211" s="27"/>
      <c r="BE211" s="27"/>
      <c r="BI211" s="220"/>
      <c r="BJ211" s="220"/>
      <c r="BN211" s="220"/>
      <c r="BO211" s="220"/>
    </row>
    <row r="212" spans="7:67" x14ac:dyDescent="0.45">
      <c r="G212" s="27"/>
      <c r="H212" s="27"/>
      <c r="K212" s="27"/>
      <c r="L212" s="27"/>
      <c r="P212" s="27"/>
      <c r="Q212" s="27"/>
      <c r="U212" s="27"/>
      <c r="V212" s="27"/>
      <c r="Z212" s="167"/>
      <c r="AA212" s="167"/>
      <c r="AE212" s="27"/>
      <c r="AF212" s="27"/>
      <c r="AJ212" s="27"/>
      <c r="AK212" s="27"/>
      <c r="AO212" s="27"/>
      <c r="AP212" s="27"/>
      <c r="AT212" s="27"/>
      <c r="AU212" s="27"/>
      <c r="AY212" s="27"/>
      <c r="AZ212" s="27"/>
      <c r="BD212" s="27"/>
      <c r="BE212" s="27"/>
      <c r="BI212" s="220"/>
      <c r="BJ212" s="220"/>
      <c r="BN212" s="220"/>
      <c r="BO212" s="220"/>
    </row>
    <row r="213" spans="7:67" x14ac:dyDescent="0.45">
      <c r="G213" s="27"/>
      <c r="H213" s="27"/>
      <c r="K213" s="27"/>
      <c r="L213" s="27"/>
      <c r="P213" s="27"/>
      <c r="Q213" s="27"/>
      <c r="U213" s="27"/>
      <c r="V213" s="27"/>
      <c r="Z213" s="167"/>
      <c r="AA213" s="167"/>
      <c r="AE213" s="27"/>
      <c r="AF213" s="27"/>
      <c r="AJ213" s="27"/>
      <c r="AK213" s="27"/>
      <c r="AO213" s="27"/>
      <c r="AP213" s="27"/>
      <c r="AT213" s="27"/>
      <c r="AU213" s="27"/>
      <c r="AY213" s="27"/>
      <c r="AZ213" s="27"/>
      <c r="BD213" s="27"/>
      <c r="BE213" s="27"/>
      <c r="BI213" s="220"/>
      <c r="BJ213" s="220"/>
      <c r="BN213" s="220"/>
      <c r="BO213" s="220"/>
    </row>
    <row r="214" spans="7:67" x14ac:dyDescent="0.45">
      <c r="G214" s="27"/>
      <c r="H214" s="27"/>
      <c r="K214" s="27"/>
      <c r="L214" s="27"/>
      <c r="P214" s="27"/>
      <c r="Q214" s="27"/>
      <c r="U214" s="27"/>
      <c r="V214" s="27"/>
      <c r="Z214" s="167"/>
      <c r="AA214" s="167"/>
      <c r="AE214" s="27"/>
      <c r="AF214" s="27"/>
      <c r="AJ214" s="27"/>
      <c r="AK214" s="27"/>
      <c r="AO214" s="27"/>
      <c r="AP214" s="27"/>
      <c r="AT214" s="27"/>
      <c r="AU214" s="27"/>
      <c r="AY214" s="27"/>
      <c r="AZ214" s="27"/>
      <c r="BD214" s="27"/>
      <c r="BE214" s="27"/>
      <c r="BI214" s="220"/>
      <c r="BJ214" s="220"/>
      <c r="BN214" s="220"/>
      <c r="BO214" s="220"/>
    </row>
    <row r="215" spans="7:67" x14ac:dyDescent="0.45">
      <c r="G215" s="27"/>
      <c r="H215" s="27"/>
      <c r="K215" s="27"/>
      <c r="L215" s="27"/>
      <c r="P215" s="27"/>
      <c r="Q215" s="27"/>
      <c r="U215" s="27"/>
      <c r="V215" s="27"/>
      <c r="Z215" s="167"/>
      <c r="AA215" s="167"/>
      <c r="AE215" s="27"/>
      <c r="AF215" s="27"/>
      <c r="AJ215" s="27"/>
      <c r="AK215" s="27"/>
      <c r="AO215" s="27"/>
      <c r="AP215" s="27"/>
      <c r="AT215" s="27"/>
      <c r="AU215" s="27"/>
      <c r="AY215" s="27"/>
      <c r="AZ215" s="27"/>
      <c r="BD215" s="27"/>
      <c r="BE215" s="27"/>
      <c r="BI215" s="220"/>
      <c r="BJ215" s="220"/>
      <c r="BN215" s="220"/>
      <c r="BO215" s="220"/>
    </row>
    <row r="216" spans="7:67" x14ac:dyDescent="0.45">
      <c r="G216" s="27"/>
      <c r="H216" s="27"/>
      <c r="K216" s="27"/>
      <c r="L216" s="27"/>
      <c r="P216" s="27"/>
      <c r="Q216" s="27"/>
      <c r="U216" s="27"/>
      <c r="V216" s="27"/>
      <c r="Z216" s="167"/>
      <c r="AA216" s="167"/>
      <c r="AE216" s="27"/>
      <c r="AF216" s="27"/>
      <c r="AJ216" s="27"/>
      <c r="AK216" s="27"/>
      <c r="AO216" s="27"/>
      <c r="AP216" s="27"/>
      <c r="AT216" s="27"/>
      <c r="AU216" s="27"/>
      <c r="AY216" s="27"/>
      <c r="AZ216" s="27"/>
      <c r="BD216" s="27"/>
      <c r="BE216" s="27"/>
      <c r="BI216" s="220"/>
      <c r="BJ216" s="220"/>
      <c r="BN216" s="220"/>
      <c r="BO216" s="220"/>
    </row>
    <row r="217" spans="7:67" x14ac:dyDescent="0.45">
      <c r="G217" s="27"/>
      <c r="H217" s="27"/>
      <c r="K217" s="27"/>
      <c r="L217" s="27"/>
      <c r="P217" s="27"/>
      <c r="Q217" s="27"/>
      <c r="U217" s="27"/>
      <c r="V217" s="27"/>
      <c r="Z217" s="167"/>
      <c r="AA217" s="167"/>
      <c r="AE217" s="27"/>
      <c r="AF217" s="27"/>
      <c r="AJ217" s="27"/>
      <c r="AK217" s="27"/>
      <c r="AO217" s="27"/>
      <c r="AP217" s="27"/>
      <c r="AT217" s="27"/>
      <c r="AU217" s="27"/>
      <c r="AY217" s="27"/>
      <c r="AZ217" s="27"/>
      <c r="BD217" s="27"/>
      <c r="BE217" s="27"/>
      <c r="BI217" s="220"/>
      <c r="BJ217" s="220"/>
      <c r="BN217" s="220"/>
      <c r="BO217" s="220"/>
    </row>
    <row r="218" spans="7:67" x14ac:dyDescent="0.45">
      <c r="G218" s="27"/>
      <c r="H218" s="27"/>
      <c r="K218" s="27"/>
      <c r="L218" s="27"/>
      <c r="P218" s="27"/>
      <c r="Q218" s="27"/>
      <c r="U218" s="27"/>
      <c r="V218" s="27"/>
      <c r="Z218" s="167"/>
      <c r="AA218" s="167"/>
      <c r="AE218" s="27"/>
      <c r="AF218" s="27"/>
      <c r="AJ218" s="27"/>
      <c r="AK218" s="27"/>
      <c r="AO218" s="27"/>
      <c r="AP218" s="27"/>
      <c r="AT218" s="27"/>
      <c r="AU218" s="27"/>
      <c r="AY218" s="27"/>
      <c r="AZ218" s="27"/>
      <c r="BD218" s="27"/>
      <c r="BE218" s="27"/>
      <c r="BI218" s="220"/>
      <c r="BJ218" s="220"/>
      <c r="BN218" s="220"/>
      <c r="BO218" s="220"/>
    </row>
    <row r="219" spans="7:67" x14ac:dyDescent="0.45">
      <c r="G219" s="27"/>
      <c r="H219" s="27"/>
      <c r="K219" s="27"/>
      <c r="L219" s="27"/>
      <c r="P219" s="27"/>
      <c r="Q219" s="27"/>
      <c r="U219" s="27"/>
      <c r="V219" s="27"/>
      <c r="Z219" s="167"/>
      <c r="AA219" s="167"/>
      <c r="AE219" s="27"/>
      <c r="AF219" s="27"/>
      <c r="AJ219" s="27"/>
      <c r="AK219" s="27"/>
      <c r="AO219" s="27"/>
      <c r="AP219" s="27"/>
      <c r="AT219" s="27"/>
      <c r="AU219" s="27"/>
      <c r="AY219" s="27"/>
      <c r="AZ219" s="27"/>
      <c r="BD219" s="27"/>
      <c r="BE219" s="27"/>
      <c r="BI219" s="220"/>
      <c r="BJ219" s="220"/>
      <c r="BN219" s="220"/>
      <c r="BO219" s="220"/>
    </row>
    <row r="220" spans="7:67" x14ac:dyDescent="0.45">
      <c r="G220" s="27"/>
      <c r="H220" s="27"/>
      <c r="K220" s="27"/>
      <c r="L220" s="27"/>
      <c r="P220" s="27"/>
      <c r="Q220" s="27"/>
      <c r="U220" s="27"/>
      <c r="V220" s="27"/>
      <c r="Z220" s="167"/>
      <c r="AA220" s="167"/>
      <c r="AE220" s="27"/>
      <c r="AF220" s="27"/>
      <c r="AJ220" s="27"/>
      <c r="AK220" s="27"/>
      <c r="AO220" s="27"/>
      <c r="AP220" s="27"/>
      <c r="AT220" s="27"/>
      <c r="AU220" s="27"/>
      <c r="AY220" s="27"/>
      <c r="AZ220" s="27"/>
      <c r="BD220" s="27"/>
      <c r="BE220" s="27"/>
      <c r="BI220" s="220"/>
      <c r="BJ220" s="220"/>
      <c r="BN220" s="220"/>
      <c r="BO220" s="220"/>
    </row>
    <row r="221" spans="7:67" x14ac:dyDescent="0.45">
      <c r="G221" s="27"/>
      <c r="H221" s="27"/>
      <c r="K221" s="27"/>
      <c r="L221" s="27"/>
      <c r="P221" s="27"/>
      <c r="Q221" s="27"/>
      <c r="U221" s="27"/>
      <c r="V221" s="27"/>
      <c r="Z221" s="167"/>
      <c r="AA221" s="167"/>
      <c r="AE221" s="27"/>
      <c r="AF221" s="27"/>
      <c r="AJ221" s="27"/>
      <c r="AK221" s="27"/>
      <c r="AO221" s="27"/>
      <c r="AP221" s="27"/>
      <c r="AT221" s="27"/>
      <c r="AU221" s="27"/>
      <c r="AY221" s="27"/>
      <c r="AZ221" s="27"/>
      <c r="BD221" s="27"/>
      <c r="BE221" s="27"/>
      <c r="BI221" s="220"/>
      <c r="BJ221" s="220"/>
      <c r="BN221" s="220"/>
      <c r="BO221" s="220"/>
    </row>
    <row r="222" spans="7:67" x14ac:dyDescent="0.45">
      <c r="G222" s="27"/>
      <c r="H222" s="27"/>
      <c r="K222" s="27"/>
      <c r="L222" s="27"/>
      <c r="P222" s="27"/>
      <c r="Q222" s="27"/>
      <c r="U222" s="27"/>
      <c r="V222" s="27"/>
      <c r="Z222" s="167"/>
      <c r="AA222" s="167"/>
      <c r="AE222" s="27"/>
      <c r="AF222" s="27"/>
      <c r="AJ222" s="27"/>
      <c r="AK222" s="27"/>
      <c r="AO222" s="27"/>
      <c r="AP222" s="27"/>
      <c r="AT222" s="27"/>
      <c r="AU222" s="27"/>
      <c r="AY222" s="27"/>
      <c r="AZ222" s="27"/>
      <c r="BD222" s="27"/>
      <c r="BE222" s="27"/>
      <c r="BI222" s="220"/>
      <c r="BJ222" s="220"/>
      <c r="BN222" s="220"/>
      <c r="BO222" s="220"/>
    </row>
    <row r="223" spans="7:67" x14ac:dyDescent="0.45">
      <c r="G223" s="27"/>
      <c r="H223" s="27"/>
      <c r="K223" s="27"/>
      <c r="L223" s="27"/>
      <c r="P223" s="27"/>
      <c r="Q223" s="27"/>
      <c r="U223" s="27"/>
      <c r="V223" s="27"/>
      <c r="Z223" s="167"/>
      <c r="AA223" s="167"/>
      <c r="AE223" s="27"/>
      <c r="AF223" s="27"/>
      <c r="AJ223" s="27"/>
      <c r="AK223" s="27"/>
      <c r="AO223" s="27"/>
      <c r="AP223" s="27"/>
      <c r="AT223" s="27"/>
      <c r="AU223" s="27"/>
      <c r="AY223" s="27"/>
      <c r="AZ223" s="27"/>
      <c r="BD223" s="27"/>
      <c r="BE223" s="27"/>
      <c r="BI223" s="220"/>
      <c r="BJ223" s="220"/>
      <c r="BN223" s="220"/>
      <c r="BO223" s="220"/>
    </row>
    <row r="224" spans="7:67" x14ac:dyDescent="0.45">
      <c r="G224" s="27"/>
      <c r="H224" s="27"/>
      <c r="K224" s="27"/>
      <c r="L224" s="27"/>
      <c r="P224" s="27"/>
      <c r="Q224" s="27"/>
      <c r="U224" s="27"/>
      <c r="V224" s="27"/>
      <c r="Z224" s="167"/>
      <c r="AA224" s="167"/>
      <c r="AE224" s="27"/>
      <c r="AF224" s="27"/>
      <c r="AJ224" s="27"/>
      <c r="AK224" s="27"/>
      <c r="AO224" s="27"/>
      <c r="AP224" s="27"/>
      <c r="AT224" s="27"/>
      <c r="AU224" s="27"/>
      <c r="AY224" s="27"/>
      <c r="AZ224" s="27"/>
      <c r="BD224" s="27"/>
      <c r="BE224" s="27"/>
      <c r="BI224" s="220"/>
      <c r="BJ224" s="220"/>
      <c r="BN224" s="220"/>
      <c r="BO224" s="220"/>
    </row>
    <row r="225" spans="7:67" x14ac:dyDescent="0.45">
      <c r="G225" s="27"/>
      <c r="H225" s="27"/>
      <c r="K225" s="27"/>
      <c r="L225" s="27"/>
      <c r="P225" s="27"/>
      <c r="Q225" s="27"/>
      <c r="U225" s="27"/>
      <c r="V225" s="27"/>
      <c r="Z225" s="167"/>
      <c r="AA225" s="167"/>
      <c r="AE225" s="27"/>
      <c r="AF225" s="27"/>
      <c r="AJ225" s="27"/>
      <c r="AK225" s="27"/>
      <c r="AO225" s="27"/>
      <c r="AP225" s="27"/>
      <c r="AT225" s="27"/>
      <c r="AU225" s="27"/>
      <c r="AY225" s="27"/>
      <c r="AZ225" s="27"/>
      <c r="BD225" s="27"/>
      <c r="BE225" s="27"/>
      <c r="BI225" s="220"/>
      <c r="BJ225" s="220"/>
      <c r="BN225" s="220"/>
      <c r="BO225" s="220"/>
    </row>
    <row r="226" spans="7:67" x14ac:dyDescent="0.45">
      <c r="G226" s="27"/>
      <c r="H226" s="27"/>
      <c r="K226" s="27"/>
      <c r="L226" s="27"/>
      <c r="P226" s="27"/>
      <c r="Q226" s="27"/>
      <c r="U226" s="27"/>
      <c r="V226" s="27"/>
      <c r="Z226" s="167"/>
      <c r="AA226" s="167"/>
      <c r="AE226" s="27"/>
      <c r="AF226" s="27"/>
      <c r="AJ226" s="27"/>
      <c r="AK226" s="27"/>
      <c r="AO226" s="27"/>
      <c r="AP226" s="27"/>
      <c r="AT226" s="27"/>
      <c r="AU226" s="27"/>
      <c r="AY226" s="27"/>
      <c r="AZ226" s="27"/>
      <c r="BD226" s="27"/>
      <c r="BE226" s="27"/>
      <c r="BI226" s="220"/>
      <c r="BJ226" s="220"/>
      <c r="BN226" s="220"/>
      <c r="BO226" s="220"/>
    </row>
    <row r="227" spans="7:67" x14ac:dyDescent="0.45">
      <c r="G227" s="27"/>
      <c r="H227" s="27"/>
      <c r="K227" s="27"/>
      <c r="L227" s="27"/>
      <c r="P227" s="27"/>
      <c r="Q227" s="27"/>
      <c r="U227" s="27"/>
      <c r="V227" s="27"/>
      <c r="Z227" s="167"/>
      <c r="AA227" s="167"/>
      <c r="AE227" s="27"/>
      <c r="AF227" s="27"/>
      <c r="AJ227" s="27"/>
      <c r="AK227" s="27"/>
      <c r="AO227" s="27"/>
      <c r="AP227" s="27"/>
      <c r="AT227" s="27"/>
      <c r="AU227" s="27"/>
      <c r="AY227" s="27"/>
      <c r="AZ227" s="27"/>
      <c r="BD227" s="27"/>
      <c r="BE227" s="27"/>
      <c r="BI227" s="220"/>
      <c r="BJ227" s="220"/>
      <c r="BN227" s="220"/>
      <c r="BO227" s="220"/>
    </row>
    <row r="228" spans="7:67" x14ac:dyDescent="0.45">
      <c r="G228" s="27"/>
      <c r="H228" s="27"/>
      <c r="K228" s="27"/>
      <c r="L228" s="27"/>
      <c r="P228" s="27"/>
      <c r="Q228" s="27"/>
      <c r="U228" s="27"/>
      <c r="V228" s="27"/>
      <c r="Z228" s="167"/>
      <c r="AA228" s="167"/>
      <c r="AE228" s="27"/>
      <c r="AF228" s="27"/>
      <c r="AJ228" s="27"/>
      <c r="AK228" s="27"/>
      <c r="AO228" s="27"/>
      <c r="AP228" s="27"/>
      <c r="AT228" s="27"/>
      <c r="AU228" s="27"/>
      <c r="AY228" s="27"/>
      <c r="AZ228" s="27"/>
      <c r="BD228" s="27"/>
      <c r="BE228" s="27"/>
      <c r="BI228" s="220"/>
      <c r="BJ228" s="220"/>
      <c r="BN228" s="220"/>
      <c r="BO228" s="220"/>
    </row>
    <row r="229" spans="7:67" x14ac:dyDescent="0.45">
      <c r="G229" s="27"/>
      <c r="H229" s="27"/>
      <c r="K229" s="27"/>
      <c r="L229" s="27"/>
      <c r="P229" s="27"/>
      <c r="Q229" s="27"/>
      <c r="U229" s="27"/>
      <c r="V229" s="27"/>
      <c r="Z229" s="167"/>
      <c r="AA229" s="167"/>
      <c r="AE229" s="27"/>
      <c r="AF229" s="27"/>
      <c r="AJ229" s="27"/>
      <c r="AK229" s="27"/>
      <c r="AO229" s="27"/>
      <c r="AP229" s="27"/>
      <c r="AT229" s="27"/>
      <c r="AU229" s="27"/>
      <c r="AY229" s="27"/>
      <c r="AZ229" s="27"/>
      <c r="BD229" s="27"/>
      <c r="BE229" s="27"/>
      <c r="BI229" s="220"/>
      <c r="BJ229" s="220"/>
      <c r="BN229" s="220"/>
      <c r="BO229" s="220"/>
    </row>
    <row r="230" spans="7:67" x14ac:dyDescent="0.45">
      <c r="G230" s="27"/>
      <c r="H230" s="27"/>
      <c r="K230" s="27"/>
      <c r="L230" s="27"/>
      <c r="P230" s="27"/>
      <c r="Q230" s="27"/>
      <c r="U230" s="27"/>
      <c r="V230" s="27"/>
      <c r="Z230" s="167"/>
      <c r="AA230" s="167"/>
      <c r="AE230" s="27"/>
      <c r="AF230" s="27"/>
      <c r="AJ230" s="27"/>
      <c r="AK230" s="27"/>
      <c r="AO230" s="27"/>
      <c r="AP230" s="27"/>
      <c r="AT230" s="27"/>
      <c r="AU230" s="27"/>
      <c r="AY230" s="27"/>
      <c r="AZ230" s="27"/>
      <c r="BD230" s="27"/>
      <c r="BE230" s="27"/>
      <c r="BI230" s="220"/>
      <c r="BJ230" s="220"/>
      <c r="BN230" s="220"/>
      <c r="BO230" s="220"/>
    </row>
    <row r="231" spans="7:67" x14ac:dyDescent="0.45">
      <c r="G231" s="27"/>
      <c r="H231" s="27"/>
      <c r="K231" s="27"/>
      <c r="L231" s="27"/>
      <c r="P231" s="27"/>
      <c r="Q231" s="27"/>
      <c r="U231" s="27"/>
      <c r="V231" s="27"/>
      <c r="Z231" s="167"/>
      <c r="AA231" s="167"/>
      <c r="AE231" s="27"/>
      <c r="AF231" s="27"/>
      <c r="AJ231" s="27"/>
      <c r="AK231" s="27"/>
      <c r="AO231" s="27"/>
      <c r="AP231" s="27"/>
      <c r="AT231" s="27"/>
      <c r="AU231" s="27"/>
      <c r="AY231" s="27"/>
      <c r="AZ231" s="27"/>
      <c r="BD231" s="27"/>
      <c r="BE231" s="27"/>
      <c r="BI231" s="220"/>
      <c r="BJ231" s="220"/>
      <c r="BN231" s="220"/>
      <c r="BO231" s="220"/>
    </row>
    <row r="232" spans="7:67" x14ac:dyDescent="0.45">
      <c r="G232" s="27"/>
      <c r="H232" s="27"/>
      <c r="K232" s="27"/>
      <c r="L232" s="27"/>
      <c r="P232" s="27"/>
      <c r="Q232" s="27"/>
      <c r="U232" s="27"/>
      <c r="V232" s="27"/>
      <c r="Z232" s="167"/>
      <c r="AA232" s="167"/>
      <c r="AE232" s="27"/>
      <c r="AF232" s="27"/>
      <c r="AJ232" s="27"/>
      <c r="AK232" s="27"/>
      <c r="AO232" s="27"/>
      <c r="AP232" s="27"/>
      <c r="AT232" s="27"/>
      <c r="AU232" s="27"/>
      <c r="AY232" s="27"/>
      <c r="AZ232" s="27"/>
      <c r="BD232" s="27"/>
      <c r="BE232" s="27"/>
      <c r="BI232" s="220"/>
      <c r="BJ232" s="220"/>
      <c r="BN232" s="220"/>
      <c r="BO232" s="220"/>
    </row>
    <row r="233" spans="7:67" x14ac:dyDescent="0.45">
      <c r="G233" s="27"/>
      <c r="H233" s="27"/>
      <c r="K233" s="27"/>
      <c r="L233" s="27"/>
      <c r="P233" s="27"/>
      <c r="Q233" s="27"/>
      <c r="U233" s="27"/>
      <c r="V233" s="27"/>
      <c r="Z233" s="167"/>
      <c r="AA233" s="167"/>
      <c r="AE233" s="27"/>
      <c r="AF233" s="27"/>
      <c r="AJ233" s="27"/>
      <c r="AK233" s="27"/>
      <c r="AO233" s="27"/>
      <c r="AP233" s="27"/>
      <c r="AT233" s="27"/>
      <c r="AU233" s="27"/>
      <c r="AY233" s="27"/>
      <c r="AZ233" s="27"/>
      <c r="BD233" s="27"/>
      <c r="BE233" s="27"/>
      <c r="BI233" s="220"/>
      <c r="BJ233" s="220"/>
      <c r="BN233" s="220"/>
      <c r="BO233" s="220"/>
    </row>
    <row r="234" spans="7:67" x14ac:dyDescent="0.45">
      <c r="G234" s="27"/>
      <c r="H234" s="27"/>
      <c r="K234" s="27"/>
      <c r="L234" s="27"/>
      <c r="P234" s="27"/>
      <c r="Q234" s="27"/>
      <c r="U234" s="27"/>
      <c r="V234" s="27"/>
      <c r="Z234" s="167"/>
      <c r="AA234" s="167"/>
      <c r="AE234" s="27"/>
      <c r="AF234" s="27"/>
      <c r="AJ234" s="27"/>
      <c r="AK234" s="27"/>
      <c r="AO234" s="27"/>
      <c r="AP234" s="27"/>
      <c r="AT234" s="27"/>
      <c r="AU234" s="27"/>
      <c r="AY234" s="27"/>
      <c r="AZ234" s="27"/>
      <c r="BD234" s="27"/>
      <c r="BE234" s="27"/>
      <c r="BI234" s="220"/>
      <c r="BJ234" s="220"/>
      <c r="BN234" s="220"/>
      <c r="BO234" s="220"/>
    </row>
    <row r="235" spans="7:67" x14ac:dyDescent="0.45">
      <c r="G235" s="27"/>
      <c r="H235" s="27"/>
      <c r="K235" s="27"/>
      <c r="L235" s="27"/>
      <c r="P235" s="27"/>
      <c r="Q235" s="27"/>
      <c r="U235" s="27"/>
      <c r="V235" s="27"/>
      <c r="Z235" s="167"/>
      <c r="AA235" s="167"/>
      <c r="AE235" s="27"/>
      <c r="AF235" s="27"/>
      <c r="AJ235" s="27"/>
      <c r="AK235" s="27"/>
      <c r="AO235" s="27"/>
      <c r="AP235" s="27"/>
      <c r="AT235" s="27"/>
      <c r="AU235" s="27"/>
      <c r="AY235" s="27"/>
      <c r="AZ235" s="27"/>
      <c r="BD235" s="27"/>
      <c r="BE235" s="27"/>
      <c r="BI235" s="220"/>
      <c r="BJ235" s="220"/>
      <c r="BN235" s="220"/>
      <c r="BO235" s="220"/>
    </row>
    <row r="236" spans="7:67" x14ac:dyDescent="0.45">
      <c r="G236" s="27"/>
      <c r="H236" s="27"/>
      <c r="K236" s="27"/>
      <c r="L236" s="27"/>
      <c r="P236" s="27"/>
      <c r="Q236" s="27"/>
      <c r="U236" s="27"/>
      <c r="V236" s="27"/>
      <c r="Z236" s="167"/>
      <c r="AA236" s="167"/>
      <c r="AE236" s="27"/>
      <c r="AF236" s="27"/>
      <c r="AJ236" s="27"/>
      <c r="AK236" s="27"/>
      <c r="AO236" s="27"/>
      <c r="AP236" s="27"/>
      <c r="AT236" s="27"/>
      <c r="AU236" s="27"/>
      <c r="AY236" s="27"/>
      <c r="AZ236" s="27"/>
      <c r="BD236" s="27"/>
      <c r="BE236" s="27"/>
      <c r="BI236" s="220"/>
      <c r="BJ236" s="220"/>
      <c r="BN236" s="220"/>
      <c r="BO236" s="220"/>
    </row>
    <row r="237" spans="7:67" x14ac:dyDescent="0.45">
      <c r="G237" s="27"/>
      <c r="H237" s="27"/>
      <c r="K237" s="27"/>
      <c r="L237" s="27"/>
      <c r="P237" s="27"/>
      <c r="Q237" s="27"/>
      <c r="U237" s="27"/>
      <c r="V237" s="27"/>
      <c r="Z237" s="167"/>
      <c r="AA237" s="167"/>
      <c r="AE237" s="27"/>
      <c r="AF237" s="27"/>
      <c r="AJ237" s="27"/>
      <c r="AK237" s="27"/>
      <c r="AO237" s="27"/>
      <c r="AP237" s="27"/>
      <c r="AT237" s="27"/>
      <c r="AU237" s="27"/>
      <c r="AY237" s="27"/>
      <c r="AZ237" s="27"/>
      <c r="BD237" s="27"/>
      <c r="BE237" s="27"/>
      <c r="BI237" s="220"/>
      <c r="BJ237" s="220"/>
      <c r="BN237" s="220"/>
      <c r="BO237" s="220"/>
    </row>
    <row r="238" spans="7:67" x14ac:dyDescent="0.45">
      <c r="G238" s="27"/>
      <c r="H238" s="27"/>
      <c r="K238" s="27"/>
      <c r="L238" s="27"/>
      <c r="P238" s="27"/>
      <c r="Q238" s="27"/>
      <c r="U238" s="27"/>
      <c r="V238" s="27"/>
      <c r="Z238" s="167"/>
      <c r="AA238" s="167"/>
      <c r="AE238" s="27"/>
      <c r="AF238" s="27"/>
      <c r="AJ238" s="27"/>
      <c r="AK238" s="27"/>
      <c r="AO238" s="27"/>
      <c r="AP238" s="27"/>
      <c r="AT238" s="27"/>
      <c r="AU238" s="27"/>
      <c r="AY238" s="27"/>
      <c r="AZ238" s="27"/>
      <c r="BD238" s="27"/>
      <c r="BE238" s="27"/>
      <c r="BI238" s="220"/>
      <c r="BJ238" s="220"/>
      <c r="BN238" s="220"/>
      <c r="BO238" s="220"/>
    </row>
    <row r="239" spans="7:67" x14ac:dyDescent="0.45">
      <c r="G239" s="27"/>
      <c r="H239" s="27"/>
      <c r="K239" s="27"/>
      <c r="L239" s="27"/>
      <c r="P239" s="27"/>
      <c r="Q239" s="27"/>
      <c r="U239" s="27"/>
      <c r="V239" s="27"/>
      <c r="Z239" s="167"/>
      <c r="AA239" s="167"/>
      <c r="AE239" s="27"/>
      <c r="AF239" s="27"/>
      <c r="AJ239" s="27"/>
      <c r="AK239" s="27"/>
      <c r="AO239" s="27"/>
      <c r="AP239" s="27"/>
      <c r="AT239" s="27"/>
      <c r="AU239" s="27"/>
      <c r="AY239" s="27"/>
      <c r="AZ239" s="27"/>
      <c r="BD239" s="27"/>
      <c r="BE239" s="27"/>
      <c r="BI239" s="220"/>
      <c r="BJ239" s="220"/>
      <c r="BN239" s="220"/>
      <c r="BO239" s="220"/>
    </row>
    <row r="240" spans="7:67" x14ac:dyDescent="0.45">
      <c r="G240" s="27"/>
      <c r="H240" s="27"/>
      <c r="K240" s="27"/>
      <c r="L240" s="27"/>
      <c r="P240" s="27"/>
      <c r="Q240" s="27"/>
      <c r="U240" s="27"/>
      <c r="V240" s="27"/>
      <c r="Z240" s="167"/>
      <c r="AA240" s="167"/>
      <c r="AE240" s="27"/>
      <c r="AF240" s="27"/>
      <c r="AJ240" s="27"/>
      <c r="AK240" s="27"/>
      <c r="AO240" s="27"/>
      <c r="AP240" s="27"/>
      <c r="AT240" s="27"/>
      <c r="AU240" s="27"/>
      <c r="AY240" s="27"/>
      <c r="AZ240" s="27"/>
      <c r="BD240" s="27"/>
      <c r="BE240" s="27"/>
      <c r="BI240" s="220"/>
      <c r="BJ240" s="220"/>
      <c r="BN240" s="220"/>
      <c r="BO240" s="220"/>
    </row>
    <row r="241" spans="7:67" x14ac:dyDescent="0.45">
      <c r="G241" s="27"/>
      <c r="H241" s="27"/>
      <c r="K241" s="27"/>
      <c r="L241" s="27"/>
      <c r="P241" s="27"/>
      <c r="Q241" s="27"/>
      <c r="U241" s="27"/>
      <c r="V241" s="27"/>
      <c r="Z241" s="167"/>
      <c r="AA241" s="167"/>
      <c r="AE241" s="27"/>
      <c r="AF241" s="27"/>
      <c r="AJ241" s="27"/>
      <c r="AK241" s="27"/>
      <c r="AO241" s="27"/>
      <c r="AP241" s="27"/>
      <c r="AT241" s="27"/>
      <c r="AU241" s="27"/>
      <c r="AY241" s="27"/>
      <c r="AZ241" s="27"/>
      <c r="BD241" s="27"/>
      <c r="BE241" s="27"/>
      <c r="BI241" s="220"/>
      <c r="BJ241" s="220"/>
      <c r="BN241" s="220"/>
      <c r="BO241" s="220"/>
    </row>
    <row r="242" spans="7:67" x14ac:dyDescent="0.45">
      <c r="G242" s="27"/>
      <c r="H242" s="27"/>
      <c r="K242" s="27"/>
      <c r="L242" s="27"/>
      <c r="P242" s="27"/>
      <c r="Q242" s="27"/>
      <c r="U242" s="27"/>
      <c r="V242" s="27"/>
      <c r="Z242" s="167"/>
      <c r="AA242" s="167"/>
      <c r="AE242" s="27"/>
      <c r="AF242" s="27"/>
      <c r="AJ242" s="27"/>
      <c r="AK242" s="27"/>
      <c r="AO242" s="27"/>
      <c r="AP242" s="27"/>
      <c r="AT242" s="27"/>
      <c r="AU242" s="27"/>
      <c r="AY242" s="27"/>
      <c r="AZ242" s="27"/>
      <c r="BD242" s="27"/>
      <c r="BE242" s="27"/>
      <c r="BI242" s="220"/>
      <c r="BJ242" s="220"/>
      <c r="BN242" s="220"/>
      <c r="BO242" s="220"/>
    </row>
    <row r="243" spans="7:67" x14ac:dyDescent="0.45">
      <c r="G243" s="27"/>
      <c r="H243" s="27"/>
      <c r="K243" s="27"/>
      <c r="L243" s="27"/>
      <c r="P243" s="27"/>
      <c r="Q243" s="27"/>
      <c r="U243" s="27"/>
      <c r="V243" s="27"/>
      <c r="Z243" s="167"/>
      <c r="AA243" s="167"/>
      <c r="AE243" s="27"/>
      <c r="AF243" s="27"/>
      <c r="AJ243" s="27"/>
      <c r="AK243" s="27"/>
      <c r="AO243" s="27"/>
      <c r="AP243" s="27"/>
      <c r="AT243" s="27"/>
      <c r="AU243" s="27"/>
      <c r="AY243" s="27"/>
      <c r="AZ243" s="27"/>
      <c r="BD243" s="27"/>
      <c r="BE243" s="27"/>
      <c r="BI243" s="220"/>
      <c r="BJ243" s="220"/>
      <c r="BN243" s="220"/>
      <c r="BO243" s="220"/>
    </row>
    <row r="244" spans="7:67" x14ac:dyDescent="0.45">
      <c r="G244" s="27"/>
      <c r="H244" s="27"/>
      <c r="K244" s="27"/>
      <c r="L244" s="27"/>
      <c r="P244" s="27"/>
      <c r="Q244" s="27"/>
      <c r="U244" s="27"/>
      <c r="V244" s="27"/>
      <c r="Z244" s="167"/>
      <c r="AA244" s="167"/>
      <c r="AE244" s="27"/>
      <c r="AF244" s="27"/>
      <c r="AJ244" s="27"/>
      <c r="AK244" s="27"/>
      <c r="AO244" s="27"/>
      <c r="AP244" s="27"/>
      <c r="AT244" s="27"/>
      <c r="AU244" s="27"/>
      <c r="AY244" s="27"/>
      <c r="AZ244" s="27"/>
      <c r="BD244" s="27"/>
      <c r="BE244" s="27"/>
      <c r="BI244" s="220"/>
      <c r="BJ244" s="220"/>
      <c r="BN244" s="220"/>
      <c r="BO244" s="220"/>
    </row>
    <row r="245" spans="7:67" x14ac:dyDescent="0.45">
      <c r="G245" s="27"/>
      <c r="H245" s="27"/>
      <c r="K245" s="27"/>
      <c r="L245" s="27"/>
      <c r="P245" s="27"/>
      <c r="Q245" s="27"/>
      <c r="U245" s="27"/>
      <c r="V245" s="27"/>
      <c r="Z245" s="167"/>
      <c r="AA245" s="167"/>
      <c r="AE245" s="27"/>
      <c r="AF245" s="27"/>
      <c r="AJ245" s="27"/>
      <c r="AK245" s="27"/>
      <c r="AO245" s="27"/>
      <c r="AP245" s="27"/>
      <c r="AT245" s="27"/>
      <c r="AU245" s="27"/>
      <c r="AY245" s="27"/>
      <c r="AZ245" s="27"/>
      <c r="BD245" s="27"/>
      <c r="BE245" s="27"/>
      <c r="BI245" s="220"/>
      <c r="BJ245" s="220"/>
      <c r="BN245" s="220"/>
      <c r="BO245" s="220"/>
    </row>
    <row r="246" spans="7:67" x14ac:dyDescent="0.45">
      <c r="G246" s="27"/>
      <c r="H246" s="27"/>
      <c r="K246" s="27"/>
      <c r="L246" s="27"/>
      <c r="P246" s="27"/>
      <c r="Q246" s="27"/>
      <c r="U246" s="27"/>
      <c r="V246" s="27"/>
      <c r="Z246" s="167"/>
      <c r="AA246" s="167"/>
      <c r="AE246" s="27"/>
      <c r="AF246" s="27"/>
      <c r="AJ246" s="27"/>
      <c r="AK246" s="27"/>
      <c r="AO246" s="27"/>
      <c r="AP246" s="27"/>
      <c r="AT246" s="27"/>
      <c r="AU246" s="27"/>
      <c r="AY246" s="27"/>
      <c r="AZ246" s="27"/>
      <c r="BD246" s="27"/>
      <c r="BE246" s="27"/>
      <c r="BI246" s="220"/>
      <c r="BJ246" s="220"/>
      <c r="BN246" s="220"/>
      <c r="BO246" s="220"/>
    </row>
    <row r="247" spans="7:67" x14ac:dyDescent="0.45">
      <c r="G247" s="27"/>
      <c r="H247" s="27"/>
      <c r="K247" s="27"/>
      <c r="L247" s="27"/>
      <c r="P247" s="27"/>
      <c r="Q247" s="27"/>
      <c r="U247" s="27"/>
      <c r="V247" s="27"/>
      <c r="Z247" s="167"/>
      <c r="AA247" s="167"/>
      <c r="AE247" s="27"/>
      <c r="AF247" s="27"/>
      <c r="AJ247" s="27"/>
      <c r="AK247" s="27"/>
      <c r="AO247" s="27"/>
      <c r="AP247" s="27"/>
      <c r="AT247" s="27"/>
      <c r="AU247" s="27"/>
      <c r="AY247" s="27"/>
      <c r="AZ247" s="27"/>
      <c r="BD247" s="27"/>
      <c r="BE247" s="27"/>
      <c r="BI247" s="220"/>
      <c r="BJ247" s="220"/>
      <c r="BN247" s="220"/>
      <c r="BO247" s="220"/>
    </row>
    <row r="248" spans="7:67" x14ac:dyDescent="0.45">
      <c r="G248" s="27"/>
      <c r="H248" s="27"/>
      <c r="K248" s="27"/>
      <c r="L248" s="27"/>
      <c r="P248" s="27"/>
      <c r="Q248" s="27"/>
      <c r="U248" s="27"/>
      <c r="V248" s="27"/>
      <c r="Z248" s="167"/>
      <c r="AA248" s="167"/>
      <c r="AE248" s="27"/>
      <c r="AF248" s="27"/>
      <c r="AJ248" s="27"/>
      <c r="AK248" s="27"/>
      <c r="AO248" s="27"/>
      <c r="AP248" s="27"/>
      <c r="AT248" s="27"/>
      <c r="AU248" s="27"/>
      <c r="AY248" s="27"/>
      <c r="AZ248" s="27"/>
      <c r="BD248" s="27"/>
      <c r="BE248" s="27"/>
      <c r="BI248" s="220"/>
      <c r="BJ248" s="220"/>
      <c r="BN248" s="220"/>
      <c r="BO248" s="220"/>
    </row>
    <row r="249" spans="7:67" x14ac:dyDescent="0.45">
      <c r="G249" s="27"/>
      <c r="H249" s="27"/>
      <c r="K249" s="27"/>
      <c r="L249" s="27"/>
      <c r="P249" s="27"/>
      <c r="Q249" s="27"/>
      <c r="U249" s="27"/>
      <c r="V249" s="27"/>
      <c r="Z249" s="167"/>
      <c r="AA249" s="167"/>
      <c r="AE249" s="27"/>
      <c r="AF249" s="27"/>
      <c r="AJ249" s="27"/>
      <c r="AK249" s="27"/>
      <c r="AO249" s="27"/>
      <c r="AP249" s="27"/>
      <c r="AT249" s="27"/>
      <c r="AU249" s="27"/>
      <c r="AY249" s="27"/>
      <c r="AZ249" s="27"/>
      <c r="BD249" s="27"/>
      <c r="BE249" s="27"/>
      <c r="BI249" s="220"/>
      <c r="BJ249" s="220"/>
      <c r="BN249" s="220"/>
      <c r="BO249" s="220"/>
    </row>
    <row r="250" spans="7:67" x14ac:dyDescent="0.45">
      <c r="G250" s="27"/>
      <c r="H250" s="27"/>
      <c r="K250" s="27"/>
      <c r="L250" s="27"/>
      <c r="P250" s="27"/>
      <c r="Q250" s="27"/>
      <c r="U250" s="27"/>
      <c r="V250" s="27"/>
      <c r="Z250" s="167"/>
      <c r="AA250" s="167"/>
      <c r="AE250" s="27"/>
      <c r="AF250" s="27"/>
      <c r="AJ250" s="27"/>
      <c r="AK250" s="27"/>
      <c r="AO250" s="27"/>
      <c r="AP250" s="27"/>
      <c r="AT250" s="27"/>
      <c r="AU250" s="27"/>
      <c r="AY250" s="27"/>
      <c r="AZ250" s="27"/>
      <c r="BD250" s="27"/>
      <c r="BE250" s="27"/>
      <c r="BI250" s="220"/>
      <c r="BJ250" s="220"/>
      <c r="BN250" s="220"/>
      <c r="BO250" s="220"/>
    </row>
    <row r="251" spans="7:67" x14ac:dyDescent="0.45">
      <c r="G251" s="27"/>
      <c r="H251" s="27"/>
      <c r="K251" s="27"/>
      <c r="L251" s="27"/>
      <c r="P251" s="27"/>
      <c r="Q251" s="27"/>
      <c r="U251" s="27"/>
      <c r="V251" s="27"/>
      <c r="Z251" s="167"/>
      <c r="AA251" s="167"/>
      <c r="AE251" s="27"/>
      <c r="AF251" s="27"/>
      <c r="AJ251" s="27"/>
      <c r="AK251" s="27"/>
      <c r="AO251" s="27"/>
      <c r="AP251" s="27"/>
      <c r="AT251" s="27"/>
      <c r="AU251" s="27"/>
      <c r="AY251" s="27"/>
      <c r="AZ251" s="27"/>
      <c r="BD251" s="27"/>
      <c r="BE251" s="27"/>
      <c r="BI251" s="220"/>
      <c r="BJ251" s="220"/>
      <c r="BN251" s="220"/>
      <c r="BO251" s="220"/>
    </row>
    <row r="252" spans="7:67" x14ac:dyDescent="0.45">
      <c r="G252" s="27"/>
      <c r="H252" s="27"/>
      <c r="K252" s="27"/>
      <c r="L252" s="27"/>
      <c r="P252" s="27"/>
      <c r="Q252" s="27"/>
      <c r="U252" s="27"/>
      <c r="V252" s="27"/>
      <c r="Z252" s="167"/>
      <c r="AA252" s="167"/>
      <c r="AE252" s="27"/>
      <c r="AF252" s="27"/>
      <c r="AJ252" s="27"/>
      <c r="AK252" s="27"/>
      <c r="AO252" s="27"/>
      <c r="AP252" s="27"/>
      <c r="AT252" s="27"/>
      <c r="AU252" s="27"/>
      <c r="AY252" s="27"/>
      <c r="AZ252" s="27"/>
      <c r="BD252" s="27"/>
      <c r="BE252" s="27"/>
      <c r="BI252" s="220"/>
      <c r="BJ252" s="220"/>
      <c r="BN252" s="220"/>
      <c r="BO252" s="220"/>
    </row>
    <row r="253" spans="7:67" x14ac:dyDescent="0.45">
      <c r="G253" s="27"/>
      <c r="H253" s="27"/>
      <c r="K253" s="27"/>
      <c r="L253" s="27"/>
      <c r="P253" s="27"/>
      <c r="Q253" s="27"/>
      <c r="U253" s="27"/>
      <c r="V253" s="27"/>
      <c r="Z253" s="167"/>
      <c r="AA253" s="167"/>
      <c r="AE253" s="27"/>
      <c r="AF253" s="27"/>
      <c r="AJ253" s="27"/>
      <c r="AK253" s="27"/>
      <c r="AO253" s="27"/>
      <c r="AP253" s="27"/>
      <c r="AT253" s="27"/>
      <c r="AU253" s="27"/>
      <c r="AY253" s="27"/>
      <c r="AZ253" s="27"/>
      <c r="BD253" s="27"/>
      <c r="BE253" s="27"/>
      <c r="BI253" s="220"/>
      <c r="BJ253" s="220"/>
      <c r="BN253" s="220"/>
      <c r="BO253" s="220"/>
    </row>
    <row r="254" spans="7:67" x14ac:dyDescent="0.45">
      <c r="G254" s="27"/>
      <c r="H254" s="27"/>
      <c r="K254" s="27"/>
      <c r="L254" s="27"/>
      <c r="P254" s="27"/>
      <c r="Q254" s="27"/>
      <c r="U254" s="27"/>
      <c r="V254" s="27"/>
      <c r="Z254" s="167"/>
      <c r="AA254" s="167"/>
      <c r="AE254" s="27"/>
      <c r="AF254" s="27"/>
      <c r="AJ254" s="27"/>
      <c r="AK254" s="27"/>
      <c r="AO254" s="27"/>
      <c r="AP254" s="27"/>
      <c r="AT254" s="27"/>
      <c r="AU254" s="27"/>
      <c r="AY254" s="27"/>
      <c r="AZ254" s="27"/>
      <c r="BD254" s="27"/>
      <c r="BE254" s="27"/>
      <c r="BI254" s="220"/>
      <c r="BJ254" s="220"/>
      <c r="BN254" s="220"/>
      <c r="BO254" s="220"/>
    </row>
    <row r="255" spans="7:67" x14ac:dyDescent="0.45">
      <c r="G255" s="27"/>
      <c r="H255" s="27"/>
      <c r="K255" s="27"/>
      <c r="L255" s="27"/>
      <c r="P255" s="27"/>
      <c r="Q255" s="27"/>
      <c r="U255" s="27"/>
      <c r="V255" s="27"/>
      <c r="Z255" s="167"/>
      <c r="AA255" s="167"/>
      <c r="AE255" s="27"/>
      <c r="AF255" s="27"/>
      <c r="AJ255" s="27"/>
      <c r="AK255" s="27"/>
      <c r="AO255" s="27"/>
      <c r="AP255" s="27"/>
      <c r="AT255" s="27"/>
      <c r="AU255" s="27"/>
      <c r="AY255" s="27"/>
      <c r="AZ255" s="27"/>
      <c r="BD255" s="27"/>
      <c r="BE255" s="27"/>
      <c r="BI255" s="220"/>
      <c r="BJ255" s="220"/>
      <c r="BN255" s="220"/>
      <c r="BO255" s="220"/>
    </row>
    <row r="256" spans="7:67" x14ac:dyDescent="0.45">
      <c r="G256" s="27"/>
      <c r="H256" s="27"/>
      <c r="K256" s="27"/>
      <c r="L256" s="27"/>
      <c r="P256" s="27"/>
      <c r="Q256" s="27"/>
      <c r="U256" s="27"/>
      <c r="V256" s="27"/>
      <c r="Z256" s="167"/>
      <c r="AA256" s="167"/>
      <c r="AE256" s="27"/>
      <c r="AF256" s="27"/>
      <c r="AJ256" s="27"/>
      <c r="AK256" s="27"/>
      <c r="AO256" s="27"/>
      <c r="AP256" s="27"/>
      <c r="AT256" s="27"/>
      <c r="AU256" s="27"/>
      <c r="AY256" s="27"/>
      <c r="AZ256" s="27"/>
      <c r="BD256" s="27"/>
      <c r="BE256" s="27"/>
      <c r="BI256" s="220"/>
      <c r="BJ256" s="220"/>
      <c r="BN256" s="220"/>
      <c r="BO256" s="220"/>
    </row>
    <row r="257" spans="7:67" x14ac:dyDescent="0.45">
      <c r="G257" s="27"/>
      <c r="H257" s="27"/>
      <c r="K257" s="27"/>
      <c r="L257" s="27"/>
      <c r="P257" s="27"/>
      <c r="Q257" s="27"/>
      <c r="U257" s="27"/>
      <c r="V257" s="27"/>
      <c r="Z257" s="167"/>
      <c r="AA257" s="167"/>
      <c r="AE257" s="27"/>
      <c r="AF257" s="27"/>
      <c r="AJ257" s="27"/>
      <c r="AK257" s="27"/>
      <c r="AO257" s="27"/>
      <c r="AP257" s="27"/>
      <c r="AT257" s="27"/>
      <c r="AU257" s="27"/>
      <c r="AY257" s="27"/>
      <c r="AZ257" s="27"/>
      <c r="BD257" s="27"/>
      <c r="BE257" s="27"/>
      <c r="BI257" s="220"/>
      <c r="BJ257" s="220"/>
      <c r="BN257" s="220"/>
      <c r="BO257" s="220"/>
    </row>
    <row r="258" spans="7:67" x14ac:dyDescent="0.45">
      <c r="G258" s="27"/>
      <c r="H258" s="27"/>
      <c r="K258" s="27"/>
      <c r="L258" s="27"/>
      <c r="P258" s="27"/>
      <c r="Q258" s="27"/>
      <c r="U258" s="27"/>
      <c r="V258" s="27"/>
      <c r="Z258" s="167"/>
      <c r="AA258" s="167"/>
      <c r="AE258" s="27"/>
      <c r="AF258" s="27"/>
      <c r="AJ258" s="27"/>
      <c r="AK258" s="27"/>
      <c r="AO258" s="27"/>
      <c r="AP258" s="27"/>
      <c r="AT258" s="27"/>
      <c r="AU258" s="27"/>
      <c r="AY258" s="27"/>
      <c r="AZ258" s="27"/>
      <c r="BD258" s="27"/>
      <c r="BE258" s="27"/>
      <c r="BI258" s="220"/>
      <c r="BJ258" s="220"/>
      <c r="BN258" s="220"/>
      <c r="BO258" s="220"/>
    </row>
    <row r="259" spans="7:67" x14ac:dyDescent="0.45">
      <c r="G259" s="27"/>
      <c r="H259" s="27"/>
      <c r="K259" s="27"/>
      <c r="L259" s="27"/>
      <c r="P259" s="27"/>
      <c r="Q259" s="27"/>
      <c r="U259" s="27"/>
      <c r="V259" s="27"/>
      <c r="Z259" s="167"/>
      <c r="AA259" s="167"/>
      <c r="AE259" s="27"/>
      <c r="AF259" s="27"/>
      <c r="AJ259" s="27"/>
      <c r="AK259" s="27"/>
      <c r="AO259" s="27"/>
      <c r="AP259" s="27"/>
      <c r="AT259" s="27"/>
      <c r="AU259" s="27"/>
      <c r="AY259" s="27"/>
      <c r="AZ259" s="27"/>
      <c r="BD259" s="27"/>
      <c r="BE259" s="27"/>
      <c r="BI259" s="220"/>
      <c r="BJ259" s="220"/>
      <c r="BN259" s="220"/>
      <c r="BO259" s="220"/>
    </row>
    <row r="260" spans="7:67" x14ac:dyDescent="0.45">
      <c r="G260" s="27"/>
      <c r="H260" s="27"/>
      <c r="K260" s="27"/>
      <c r="L260" s="27"/>
      <c r="P260" s="27"/>
      <c r="Q260" s="27"/>
      <c r="U260" s="27"/>
      <c r="V260" s="27"/>
      <c r="Z260" s="167"/>
      <c r="AA260" s="167"/>
      <c r="AE260" s="27"/>
      <c r="AF260" s="27"/>
      <c r="AJ260" s="27"/>
      <c r="AK260" s="27"/>
      <c r="AO260" s="27"/>
      <c r="AP260" s="27"/>
      <c r="AT260" s="27"/>
      <c r="AU260" s="27"/>
      <c r="AY260" s="27"/>
      <c r="AZ260" s="27"/>
      <c r="BD260" s="27"/>
      <c r="BE260" s="27"/>
      <c r="BI260" s="220"/>
      <c r="BJ260" s="220"/>
      <c r="BN260" s="220"/>
      <c r="BO260" s="220"/>
    </row>
    <row r="261" spans="7:67" x14ac:dyDescent="0.45">
      <c r="G261" s="27"/>
      <c r="H261" s="27"/>
      <c r="K261" s="27"/>
      <c r="L261" s="27"/>
      <c r="P261" s="27"/>
      <c r="Q261" s="27"/>
      <c r="U261" s="27"/>
      <c r="V261" s="27"/>
      <c r="Z261" s="167"/>
      <c r="AA261" s="167"/>
      <c r="AE261" s="27"/>
      <c r="AF261" s="27"/>
      <c r="AJ261" s="27"/>
      <c r="AK261" s="27"/>
      <c r="AO261" s="27"/>
      <c r="AP261" s="27"/>
      <c r="AT261" s="27"/>
      <c r="AU261" s="27"/>
      <c r="AY261" s="27"/>
      <c r="AZ261" s="27"/>
      <c r="BD261" s="27"/>
      <c r="BE261" s="27"/>
      <c r="BI261" s="220"/>
      <c r="BJ261" s="220"/>
      <c r="BN261" s="220"/>
      <c r="BO261" s="220"/>
    </row>
    <row r="262" spans="7:67" x14ac:dyDescent="0.45">
      <c r="G262" s="27"/>
      <c r="H262" s="27"/>
      <c r="K262" s="27"/>
      <c r="L262" s="27"/>
      <c r="P262" s="27"/>
      <c r="Q262" s="27"/>
      <c r="U262" s="27"/>
      <c r="V262" s="27"/>
      <c r="Z262" s="167"/>
      <c r="AA262" s="167"/>
      <c r="AE262" s="27"/>
      <c r="AF262" s="27"/>
      <c r="AJ262" s="27"/>
      <c r="AK262" s="27"/>
      <c r="AO262" s="27"/>
      <c r="AP262" s="27"/>
      <c r="AT262" s="27"/>
      <c r="AU262" s="27"/>
      <c r="AY262" s="27"/>
      <c r="AZ262" s="27"/>
      <c r="BD262" s="27"/>
      <c r="BE262" s="27"/>
      <c r="BI262" s="220"/>
      <c r="BJ262" s="220"/>
      <c r="BN262" s="220"/>
      <c r="BO262" s="220"/>
    </row>
    <row r="263" spans="7:67" x14ac:dyDescent="0.45">
      <c r="G263" s="27"/>
      <c r="H263" s="27"/>
      <c r="K263" s="27"/>
      <c r="L263" s="27"/>
      <c r="P263" s="27"/>
      <c r="Q263" s="27"/>
      <c r="U263" s="27"/>
      <c r="V263" s="27"/>
      <c r="Z263" s="167"/>
      <c r="AA263" s="167"/>
      <c r="AE263" s="27"/>
      <c r="AF263" s="27"/>
      <c r="AJ263" s="27"/>
      <c r="AK263" s="27"/>
      <c r="AO263" s="27"/>
      <c r="AP263" s="27"/>
      <c r="AT263" s="27"/>
      <c r="AU263" s="27"/>
      <c r="AY263" s="27"/>
      <c r="AZ263" s="27"/>
      <c r="BD263" s="27"/>
      <c r="BE263" s="27"/>
      <c r="BI263" s="220"/>
      <c r="BJ263" s="220"/>
      <c r="BN263" s="220"/>
      <c r="BO263" s="220"/>
    </row>
    <row r="264" spans="7:67" x14ac:dyDescent="0.45">
      <c r="G264" s="27"/>
      <c r="H264" s="27"/>
      <c r="K264" s="27"/>
      <c r="L264" s="27"/>
      <c r="P264" s="27"/>
      <c r="Q264" s="27"/>
      <c r="U264" s="27"/>
      <c r="V264" s="27"/>
      <c r="Z264" s="167"/>
      <c r="AA264" s="167"/>
      <c r="AE264" s="27"/>
      <c r="AF264" s="27"/>
      <c r="AJ264" s="27"/>
      <c r="AK264" s="27"/>
      <c r="AO264" s="27"/>
      <c r="AP264" s="27"/>
      <c r="AT264" s="27"/>
      <c r="AU264" s="27"/>
      <c r="AY264" s="27"/>
      <c r="AZ264" s="27"/>
      <c r="BD264" s="27"/>
      <c r="BE264" s="27"/>
      <c r="BI264" s="220"/>
      <c r="BJ264" s="220"/>
      <c r="BN264" s="220"/>
      <c r="BO264" s="220"/>
    </row>
    <row r="265" spans="7:67" x14ac:dyDescent="0.45">
      <c r="G265" s="27"/>
      <c r="H265" s="27"/>
      <c r="K265" s="27"/>
      <c r="L265" s="27"/>
      <c r="P265" s="27"/>
      <c r="Q265" s="27"/>
      <c r="U265" s="27"/>
      <c r="V265" s="27"/>
      <c r="Z265" s="167"/>
      <c r="AA265" s="167"/>
      <c r="AE265" s="27"/>
      <c r="AF265" s="27"/>
      <c r="AJ265" s="27"/>
      <c r="AK265" s="27"/>
      <c r="AO265" s="27"/>
      <c r="AP265" s="27"/>
      <c r="AT265" s="27"/>
      <c r="AU265" s="27"/>
      <c r="AY265" s="27"/>
      <c r="AZ265" s="27"/>
      <c r="BD265" s="27"/>
      <c r="BE265" s="27"/>
      <c r="BI265" s="220"/>
      <c r="BJ265" s="220"/>
      <c r="BN265" s="220"/>
      <c r="BO265" s="220"/>
    </row>
    <row r="266" spans="7:67" x14ac:dyDescent="0.45">
      <c r="G266" s="27"/>
      <c r="H266" s="27"/>
      <c r="K266" s="27"/>
      <c r="L266" s="27"/>
      <c r="P266" s="27"/>
      <c r="Q266" s="27"/>
      <c r="U266" s="27"/>
      <c r="V266" s="27"/>
      <c r="Z266" s="167"/>
      <c r="AA266" s="167"/>
      <c r="AE266" s="27"/>
      <c r="AF266" s="27"/>
      <c r="AJ266" s="27"/>
      <c r="AK266" s="27"/>
      <c r="AO266" s="27"/>
      <c r="AP266" s="27"/>
      <c r="AT266" s="27"/>
      <c r="AU266" s="27"/>
      <c r="AY266" s="27"/>
      <c r="AZ266" s="27"/>
      <c r="BD266" s="27"/>
      <c r="BE266" s="27"/>
      <c r="BI266" s="220"/>
      <c r="BJ266" s="220"/>
      <c r="BN266" s="220"/>
      <c r="BO266" s="220"/>
    </row>
    <row r="267" spans="7:67" x14ac:dyDescent="0.45">
      <c r="G267" s="27"/>
      <c r="H267" s="27"/>
      <c r="K267" s="27"/>
      <c r="L267" s="27"/>
      <c r="P267" s="27"/>
      <c r="Q267" s="27"/>
      <c r="U267" s="27"/>
      <c r="V267" s="27"/>
      <c r="Z267" s="167"/>
      <c r="AA267" s="167"/>
      <c r="AE267" s="27"/>
      <c r="AF267" s="27"/>
      <c r="AJ267" s="27"/>
      <c r="AK267" s="27"/>
      <c r="AO267" s="27"/>
      <c r="AP267" s="27"/>
      <c r="AT267" s="27"/>
      <c r="AU267" s="27"/>
      <c r="AY267" s="27"/>
      <c r="AZ267" s="27"/>
      <c r="BD267" s="27"/>
      <c r="BE267" s="27"/>
      <c r="BI267" s="220"/>
      <c r="BJ267" s="220"/>
      <c r="BN267" s="220"/>
      <c r="BO267" s="220"/>
    </row>
    <row r="268" spans="7:67" x14ac:dyDescent="0.45">
      <c r="G268" s="27"/>
      <c r="H268" s="27"/>
      <c r="K268" s="27"/>
      <c r="L268" s="27"/>
      <c r="P268" s="27"/>
      <c r="Q268" s="27"/>
      <c r="U268" s="27"/>
      <c r="V268" s="27"/>
      <c r="Z268" s="167"/>
      <c r="AA268" s="167"/>
      <c r="AE268" s="27"/>
      <c r="AF268" s="27"/>
      <c r="AJ268" s="27"/>
      <c r="AK268" s="27"/>
      <c r="AO268" s="27"/>
      <c r="AP268" s="27"/>
      <c r="AT268" s="27"/>
      <c r="AU268" s="27"/>
      <c r="AY268" s="27"/>
      <c r="AZ268" s="27"/>
      <c r="BD268" s="27"/>
      <c r="BE268" s="27"/>
      <c r="BI268" s="220"/>
      <c r="BJ268" s="220"/>
      <c r="BN268" s="220"/>
      <c r="BO268" s="220"/>
    </row>
    <row r="269" spans="7:67" x14ac:dyDescent="0.45">
      <c r="G269" s="27"/>
      <c r="H269" s="27"/>
      <c r="K269" s="27"/>
      <c r="L269" s="27"/>
      <c r="P269" s="27"/>
      <c r="Q269" s="27"/>
      <c r="U269" s="27"/>
      <c r="V269" s="27"/>
      <c r="Z269" s="167"/>
      <c r="AA269" s="167"/>
      <c r="AE269" s="27"/>
      <c r="AF269" s="27"/>
      <c r="AJ269" s="27"/>
      <c r="AK269" s="27"/>
      <c r="AO269" s="27"/>
      <c r="AP269" s="27"/>
      <c r="AT269" s="27"/>
      <c r="AU269" s="27"/>
      <c r="AY269" s="27"/>
      <c r="AZ269" s="27"/>
      <c r="BD269" s="27"/>
      <c r="BE269" s="27"/>
      <c r="BI269" s="220"/>
      <c r="BJ269" s="220"/>
      <c r="BN269" s="220"/>
      <c r="BO269" s="220"/>
    </row>
    <row r="270" spans="7:67" x14ac:dyDescent="0.45">
      <c r="G270" s="27"/>
      <c r="H270" s="27"/>
      <c r="K270" s="27"/>
      <c r="L270" s="27"/>
      <c r="P270" s="27"/>
      <c r="Q270" s="27"/>
      <c r="U270" s="27"/>
      <c r="V270" s="27"/>
      <c r="Z270" s="167"/>
      <c r="AA270" s="167"/>
      <c r="AE270" s="27"/>
      <c r="AF270" s="27"/>
      <c r="AJ270" s="27"/>
      <c r="AK270" s="27"/>
      <c r="AO270" s="27"/>
      <c r="AP270" s="27"/>
      <c r="AT270" s="27"/>
      <c r="AU270" s="27"/>
      <c r="AY270" s="27"/>
      <c r="AZ270" s="27"/>
      <c r="BD270" s="27"/>
      <c r="BE270" s="27"/>
      <c r="BI270" s="220"/>
      <c r="BJ270" s="220"/>
      <c r="BN270" s="220"/>
      <c r="BO270" s="220"/>
    </row>
    <row r="271" spans="7:67" x14ac:dyDescent="0.45">
      <c r="G271" s="27"/>
      <c r="H271" s="27"/>
      <c r="K271" s="27"/>
      <c r="L271" s="27"/>
      <c r="P271" s="27"/>
      <c r="Q271" s="27"/>
      <c r="U271" s="27"/>
      <c r="V271" s="27"/>
      <c r="Z271" s="167"/>
      <c r="AA271" s="167"/>
      <c r="AE271" s="27"/>
      <c r="AF271" s="27"/>
      <c r="AJ271" s="27"/>
      <c r="AK271" s="27"/>
      <c r="AO271" s="27"/>
      <c r="AP271" s="27"/>
      <c r="AT271" s="27"/>
      <c r="AU271" s="27"/>
      <c r="AY271" s="27"/>
      <c r="AZ271" s="27"/>
      <c r="BD271" s="27"/>
      <c r="BE271" s="27"/>
      <c r="BI271" s="220"/>
      <c r="BJ271" s="220"/>
      <c r="BN271" s="220"/>
      <c r="BO271" s="220"/>
    </row>
    <row r="272" spans="7:67" x14ac:dyDescent="0.45">
      <c r="G272" s="27"/>
      <c r="H272" s="27"/>
      <c r="K272" s="27"/>
      <c r="L272" s="27"/>
      <c r="P272" s="27"/>
      <c r="Q272" s="27"/>
      <c r="U272" s="27"/>
      <c r="V272" s="27"/>
      <c r="Z272" s="167"/>
      <c r="AA272" s="167"/>
      <c r="AE272" s="27"/>
      <c r="AF272" s="27"/>
      <c r="AJ272" s="27"/>
      <c r="AK272" s="27"/>
      <c r="AO272" s="27"/>
      <c r="AP272" s="27"/>
      <c r="AT272" s="27"/>
      <c r="AU272" s="27"/>
      <c r="AY272" s="27"/>
      <c r="AZ272" s="27"/>
      <c r="BD272" s="27"/>
      <c r="BE272" s="27"/>
      <c r="BI272" s="220"/>
      <c r="BJ272" s="220"/>
      <c r="BN272" s="220"/>
      <c r="BO272" s="220"/>
    </row>
    <row r="273" spans="7:67" x14ac:dyDescent="0.45">
      <c r="G273" s="27"/>
      <c r="H273" s="27"/>
      <c r="K273" s="27"/>
      <c r="L273" s="27"/>
      <c r="P273" s="27"/>
      <c r="Q273" s="27"/>
      <c r="U273" s="27"/>
      <c r="V273" s="27"/>
      <c r="Z273" s="167"/>
      <c r="AA273" s="167"/>
      <c r="AE273" s="27"/>
      <c r="AF273" s="27"/>
      <c r="AJ273" s="27"/>
      <c r="AK273" s="27"/>
      <c r="AO273" s="27"/>
      <c r="AP273" s="27"/>
      <c r="AT273" s="27"/>
      <c r="AU273" s="27"/>
      <c r="AY273" s="27"/>
      <c r="AZ273" s="27"/>
      <c r="BD273" s="27"/>
      <c r="BE273" s="27"/>
      <c r="BI273" s="220"/>
      <c r="BJ273" s="220"/>
      <c r="BN273" s="220"/>
      <c r="BO273" s="220"/>
    </row>
    <row r="274" spans="7:67" x14ac:dyDescent="0.45">
      <c r="G274" s="27"/>
      <c r="H274" s="27"/>
      <c r="K274" s="27"/>
      <c r="L274" s="27"/>
      <c r="P274" s="27"/>
      <c r="Q274" s="27"/>
      <c r="U274" s="27"/>
      <c r="V274" s="27"/>
      <c r="Z274" s="167"/>
      <c r="AA274" s="167"/>
      <c r="AE274" s="27"/>
      <c r="AF274" s="27"/>
      <c r="AJ274" s="27"/>
      <c r="AK274" s="27"/>
      <c r="AO274" s="27"/>
      <c r="AP274" s="27"/>
      <c r="AT274" s="27"/>
      <c r="AU274" s="27"/>
      <c r="AY274" s="27"/>
      <c r="AZ274" s="27"/>
      <c r="BD274" s="27"/>
      <c r="BE274" s="27"/>
      <c r="BI274" s="220"/>
      <c r="BJ274" s="220"/>
      <c r="BN274" s="220"/>
      <c r="BO274" s="220"/>
    </row>
    <row r="275" spans="7:67" x14ac:dyDescent="0.45">
      <c r="G275" s="27"/>
      <c r="H275" s="27"/>
      <c r="K275" s="27"/>
      <c r="L275" s="27"/>
      <c r="P275" s="27"/>
      <c r="Q275" s="27"/>
      <c r="U275" s="27"/>
      <c r="V275" s="27"/>
      <c r="Z275" s="167"/>
      <c r="AA275" s="167"/>
      <c r="AE275" s="27"/>
      <c r="AF275" s="27"/>
      <c r="AJ275" s="27"/>
      <c r="AK275" s="27"/>
      <c r="AO275" s="27"/>
      <c r="AP275" s="27"/>
      <c r="AT275" s="27"/>
      <c r="AU275" s="27"/>
      <c r="AY275" s="27"/>
      <c r="AZ275" s="27"/>
      <c r="BD275" s="27"/>
      <c r="BE275" s="27"/>
      <c r="BI275" s="220"/>
      <c r="BJ275" s="220"/>
      <c r="BN275" s="220"/>
      <c r="BO275" s="220"/>
    </row>
    <row r="276" spans="7:67" x14ac:dyDescent="0.45">
      <c r="G276" s="27"/>
      <c r="H276" s="27"/>
      <c r="K276" s="27"/>
      <c r="L276" s="27"/>
      <c r="P276" s="27"/>
      <c r="Q276" s="27"/>
      <c r="U276" s="27"/>
      <c r="V276" s="27"/>
      <c r="Z276" s="167"/>
      <c r="AA276" s="167"/>
      <c r="AE276" s="27"/>
      <c r="AF276" s="27"/>
      <c r="AJ276" s="27"/>
      <c r="AK276" s="27"/>
      <c r="AO276" s="27"/>
      <c r="AP276" s="27"/>
      <c r="AT276" s="27"/>
      <c r="AU276" s="27"/>
      <c r="AY276" s="27"/>
      <c r="AZ276" s="27"/>
      <c r="BD276" s="27"/>
      <c r="BE276" s="27"/>
      <c r="BI276" s="220"/>
      <c r="BJ276" s="220"/>
      <c r="BN276" s="220"/>
      <c r="BO276" s="220"/>
    </row>
    <row r="277" spans="7:67" x14ac:dyDescent="0.45">
      <c r="G277" s="27"/>
      <c r="H277" s="27"/>
      <c r="K277" s="27"/>
      <c r="L277" s="27"/>
      <c r="P277" s="27"/>
      <c r="Q277" s="27"/>
      <c r="U277" s="27"/>
      <c r="V277" s="27"/>
      <c r="Z277" s="167"/>
      <c r="AA277" s="167"/>
      <c r="AE277" s="27"/>
      <c r="AF277" s="27"/>
      <c r="AJ277" s="27"/>
      <c r="AK277" s="27"/>
      <c r="AO277" s="27"/>
      <c r="AP277" s="27"/>
      <c r="AT277" s="27"/>
      <c r="AU277" s="27"/>
      <c r="AY277" s="27"/>
      <c r="AZ277" s="27"/>
      <c r="BD277" s="27"/>
      <c r="BE277" s="27"/>
      <c r="BI277" s="220"/>
      <c r="BJ277" s="220"/>
      <c r="BN277" s="220"/>
      <c r="BO277" s="220"/>
    </row>
    <row r="278" spans="7:67" x14ac:dyDescent="0.45">
      <c r="G278" s="27"/>
      <c r="H278" s="27"/>
      <c r="K278" s="27"/>
      <c r="L278" s="27"/>
      <c r="P278" s="27"/>
      <c r="Q278" s="27"/>
      <c r="U278" s="27"/>
      <c r="V278" s="27"/>
      <c r="Z278" s="167"/>
      <c r="AA278" s="167"/>
      <c r="AE278" s="27"/>
      <c r="AF278" s="27"/>
      <c r="AJ278" s="27"/>
      <c r="AK278" s="27"/>
      <c r="AO278" s="27"/>
      <c r="AP278" s="27"/>
      <c r="AT278" s="27"/>
      <c r="AU278" s="27"/>
      <c r="AY278" s="27"/>
      <c r="AZ278" s="27"/>
      <c r="BD278" s="27"/>
      <c r="BE278" s="27"/>
      <c r="BI278" s="220"/>
      <c r="BJ278" s="220"/>
      <c r="BN278" s="220"/>
      <c r="BO278" s="220"/>
    </row>
    <row r="279" spans="7:67" x14ac:dyDescent="0.45">
      <c r="G279" s="27"/>
      <c r="H279" s="27"/>
      <c r="K279" s="27"/>
      <c r="L279" s="27"/>
      <c r="P279" s="27"/>
      <c r="Q279" s="27"/>
      <c r="U279" s="27"/>
      <c r="V279" s="27"/>
      <c r="Z279" s="167"/>
      <c r="AA279" s="167"/>
      <c r="AE279" s="27"/>
      <c r="AF279" s="27"/>
      <c r="AJ279" s="27"/>
      <c r="AK279" s="27"/>
      <c r="AO279" s="27"/>
      <c r="AP279" s="27"/>
      <c r="AT279" s="27"/>
      <c r="AU279" s="27"/>
      <c r="AY279" s="27"/>
      <c r="AZ279" s="27"/>
      <c r="BD279" s="27"/>
      <c r="BE279" s="27"/>
      <c r="BI279" s="220"/>
      <c r="BJ279" s="220"/>
      <c r="BN279" s="220"/>
      <c r="BO279" s="220"/>
    </row>
    <row r="280" spans="7:67" x14ac:dyDescent="0.45">
      <c r="G280" s="27"/>
      <c r="H280" s="27"/>
      <c r="K280" s="27"/>
      <c r="L280" s="27"/>
      <c r="P280" s="27"/>
      <c r="Q280" s="27"/>
      <c r="U280" s="27"/>
      <c r="V280" s="27"/>
      <c r="Z280" s="167"/>
      <c r="AA280" s="167"/>
      <c r="AE280" s="27"/>
      <c r="AF280" s="27"/>
      <c r="AJ280" s="27"/>
      <c r="AK280" s="27"/>
      <c r="AO280" s="27"/>
      <c r="AP280" s="27"/>
      <c r="AT280" s="27"/>
      <c r="AU280" s="27"/>
      <c r="AY280" s="27"/>
      <c r="AZ280" s="27"/>
      <c r="BD280" s="27"/>
      <c r="BE280" s="27"/>
      <c r="BI280" s="220"/>
      <c r="BJ280" s="220"/>
      <c r="BN280" s="220"/>
      <c r="BO280" s="220"/>
    </row>
    <row r="281" spans="7:67" x14ac:dyDescent="0.45">
      <c r="G281" s="27"/>
      <c r="H281" s="27"/>
      <c r="K281" s="27"/>
      <c r="L281" s="27"/>
      <c r="P281" s="27"/>
      <c r="Q281" s="27"/>
      <c r="U281" s="27"/>
      <c r="V281" s="27"/>
      <c r="Z281" s="167"/>
      <c r="AA281" s="167"/>
      <c r="AE281" s="27"/>
      <c r="AF281" s="27"/>
      <c r="AJ281" s="27"/>
      <c r="AK281" s="27"/>
      <c r="AO281" s="27"/>
      <c r="AP281" s="27"/>
      <c r="AT281" s="27"/>
      <c r="AU281" s="27"/>
      <c r="AY281" s="27"/>
      <c r="AZ281" s="27"/>
      <c r="BD281" s="27"/>
      <c r="BE281" s="27"/>
      <c r="BI281" s="220"/>
      <c r="BJ281" s="220"/>
      <c r="BN281" s="220"/>
      <c r="BO281" s="220"/>
    </row>
    <row r="282" spans="7:67" x14ac:dyDescent="0.45">
      <c r="G282" s="27"/>
      <c r="H282" s="27"/>
      <c r="K282" s="27"/>
      <c r="L282" s="27"/>
      <c r="P282" s="27"/>
      <c r="Q282" s="27"/>
      <c r="U282" s="27"/>
      <c r="V282" s="27"/>
      <c r="Z282" s="167"/>
      <c r="AA282" s="167"/>
      <c r="AE282" s="27"/>
      <c r="AF282" s="27"/>
      <c r="AJ282" s="27"/>
      <c r="AK282" s="27"/>
      <c r="AO282" s="27"/>
      <c r="AP282" s="27"/>
      <c r="AT282" s="27"/>
      <c r="AU282" s="27"/>
      <c r="AY282" s="27"/>
      <c r="AZ282" s="27"/>
      <c r="BD282" s="27"/>
      <c r="BE282" s="27"/>
      <c r="BI282" s="220"/>
      <c r="BJ282" s="220"/>
      <c r="BN282" s="220"/>
      <c r="BO282" s="220"/>
    </row>
    <row r="283" spans="7:67" x14ac:dyDescent="0.45">
      <c r="G283" s="27"/>
      <c r="H283" s="27"/>
      <c r="K283" s="27"/>
      <c r="L283" s="27"/>
      <c r="P283" s="27"/>
      <c r="Q283" s="27"/>
      <c r="U283" s="27"/>
      <c r="V283" s="27"/>
      <c r="Z283" s="167"/>
      <c r="AA283" s="167"/>
      <c r="AE283" s="27"/>
      <c r="AF283" s="27"/>
      <c r="AJ283" s="27"/>
      <c r="AK283" s="27"/>
      <c r="AO283" s="27"/>
      <c r="AP283" s="27"/>
      <c r="AT283" s="27"/>
      <c r="AU283" s="27"/>
      <c r="AY283" s="27"/>
      <c r="AZ283" s="27"/>
      <c r="BD283" s="27"/>
      <c r="BE283" s="27"/>
      <c r="BI283" s="220"/>
      <c r="BJ283" s="220"/>
      <c r="BN283" s="220"/>
      <c r="BO283" s="220"/>
    </row>
    <row r="284" spans="7:67" x14ac:dyDescent="0.45">
      <c r="G284" s="27"/>
      <c r="H284" s="27"/>
      <c r="K284" s="27"/>
      <c r="L284" s="27"/>
      <c r="P284" s="27"/>
      <c r="Q284" s="27"/>
      <c r="U284" s="27"/>
      <c r="V284" s="27"/>
      <c r="Z284" s="167"/>
      <c r="AA284" s="167"/>
      <c r="AE284" s="27"/>
      <c r="AF284" s="27"/>
      <c r="AJ284" s="27"/>
      <c r="AK284" s="27"/>
      <c r="AO284" s="27"/>
      <c r="AP284" s="27"/>
      <c r="AT284" s="27"/>
      <c r="AU284" s="27"/>
      <c r="AY284" s="27"/>
      <c r="AZ284" s="27"/>
      <c r="BD284" s="27"/>
      <c r="BE284" s="27"/>
      <c r="BI284" s="220"/>
      <c r="BJ284" s="220"/>
      <c r="BN284" s="220"/>
      <c r="BO284" s="220"/>
    </row>
  </sheetData>
  <mergeCells count="8">
    <mergeCell ref="E45:E52"/>
    <mergeCell ref="E36:E43"/>
    <mergeCell ref="E27:E34"/>
    <mergeCell ref="A2:D2"/>
    <mergeCell ref="A8:D8"/>
    <mergeCell ref="A7:D7"/>
    <mergeCell ref="E9:E16"/>
    <mergeCell ref="E18:E25"/>
  </mergeCells>
  <conditionalFormatting sqref="N9:N12 S9:S12 AC9:AC12 AM9:AM12 AR9:AR12 BB9:BB12 BG9:BG12 BL9:BL12 X9:X1048576 AH9:AH1048576 BL14:BL19 N14:N1048576 S14:S1048576 AC14:AC1048576 AM14:AM1048576 AR14:AR1048576 BB14:BB1048576 BG14:BG1048576 AW17 BL21:BL1048576 AW26 AW35 AW44 AW53:AW1048576">
    <cfRule type="cellIs" dxfId="115" priority="123" operator="between">
      <formula>8</formula>
      <formula>12</formula>
    </cfRule>
    <cfRule type="cellIs" dxfId="114" priority="122" operator="equal">
      <formula>15</formula>
    </cfRule>
    <cfRule type="cellIs" dxfId="113" priority="121" operator="equal">
      <formula>30</formula>
    </cfRule>
    <cfRule type="cellIs" dxfId="112" priority="124" operator="between">
      <formula>4</formula>
      <formula>6</formula>
    </cfRule>
  </conditionalFormatting>
  <conditionalFormatting sqref="N13">
    <cfRule type="cellIs" dxfId="111" priority="95" operator="equal">
      <formula>15</formula>
    </cfRule>
    <cfRule type="cellIs" dxfId="110" priority="94" operator="equal">
      <formula>30</formula>
    </cfRule>
    <cfRule type="cellIs" dxfId="109" priority="93" operator="equal">
      <formula>8</formula>
    </cfRule>
    <cfRule type="cellIs" dxfId="108" priority="92" operator="equal">
      <formula>12</formula>
    </cfRule>
    <cfRule type="cellIs" dxfId="107" priority="91" operator="equal">
      <formula>10</formula>
    </cfRule>
    <cfRule type="cellIs" dxfId="106" priority="90" operator="equal">
      <formula>20</formula>
    </cfRule>
    <cfRule type="cellIs" dxfId="105" priority="89" operator="equal">
      <formula>2</formula>
    </cfRule>
    <cfRule type="cellIs" dxfId="104" priority="96" operator="between">
      <formula>4</formula>
      <formula>6</formula>
    </cfRule>
  </conditionalFormatting>
  <conditionalFormatting sqref="S13">
    <cfRule type="cellIs" dxfId="103" priority="73" operator="equal">
      <formula>2</formula>
    </cfRule>
    <cfRule type="cellIs" dxfId="102" priority="80" operator="between">
      <formula>4</formula>
      <formula>6</formula>
    </cfRule>
    <cfRule type="cellIs" dxfId="101" priority="79" operator="equal">
      <formula>15</formula>
    </cfRule>
    <cfRule type="cellIs" dxfId="100" priority="78" operator="equal">
      <formula>30</formula>
    </cfRule>
    <cfRule type="cellIs" dxfId="99" priority="77" operator="equal">
      <formula>8</formula>
    </cfRule>
    <cfRule type="cellIs" dxfId="98" priority="76" operator="equal">
      <formula>12</formula>
    </cfRule>
    <cfRule type="cellIs" dxfId="97" priority="75" operator="equal">
      <formula>10</formula>
    </cfRule>
    <cfRule type="cellIs" dxfId="96" priority="74" operator="equal">
      <formula>20</formula>
    </cfRule>
  </conditionalFormatting>
  <conditionalFormatting sqref="AC13">
    <cfRule type="cellIs" dxfId="95" priority="88" operator="between">
      <formula>4</formula>
      <formula>6</formula>
    </cfRule>
    <cfRule type="cellIs" dxfId="94" priority="87" operator="equal">
      <formula>15</formula>
    </cfRule>
    <cfRule type="cellIs" dxfId="93" priority="86" operator="equal">
      <formula>30</formula>
    </cfRule>
    <cfRule type="cellIs" dxfId="92" priority="85" operator="equal">
      <formula>8</formula>
    </cfRule>
    <cfRule type="cellIs" dxfId="91" priority="81" operator="equal">
      <formula>2</formula>
    </cfRule>
    <cfRule type="cellIs" dxfId="90" priority="84" operator="equal">
      <formula>12</formula>
    </cfRule>
    <cfRule type="cellIs" dxfId="89" priority="83" operator="equal">
      <formula>10</formula>
    </cfRule>
    <cfRule type="cellIs" dxfId="88" priority="82" operator="equal">
      <formula>20</formula>
    </cfRule>
  </conditionalFormatting>
  <conditionalFormatting sqref="AM13">
    <cfRule type="cellIs" dxfId="87" priority="69" operator="equal">
      <formula>8</formula>
    </cfRule>
    <cfRule type="cellIs" dxfId="86" priority="70" operator="equal">
      <formula>30</formula>
    </cfRule>
    <cfRule type="cellIs" dxfId="85" priority="71" operator="equal">
      <formula>15</formula>
    </cfRule>
    <cfRule type="cellIs" dxfId="84" priority="72" operator="between">
      <formula>4</formula>
      <formula>6</formula>
    </cfRule>
    <cfRule type="cellIs" dxfId="83" priority="65" operator="equal">
      <formula>2</formula>
    </cfRule>
    <cfRule type="cellIs" dxfId="82" priority="66" operator="equal">
      <formula>20</formula>
    </cfRule>
    <cfRule type="cellIs" dxfId="81" priority="67" operator="equal">
      <formula>10</formula>
    </cfRule>
    <cfRule type="cellIs" dxfId="80" priority="68" operator="equal">
      <formula>12</formula>
    </cfRule>
  </conditionalFormatting>
  <conditionalFormatting sqref="AR13">
    <cfRule type="cellIs" dxfId="79" priority="104" operator="between">
      <formula>4</formula>
      <formula>6</formula>
    </cfRule>
    <cfRule type="cellIs" dxfId="78" priority="103" operator="equal">
      <formula>15</formula>
    </cfRule>
    <cfRule type="cellIs" dxfId="77" priority="102" operator="equal">
      <formula>30</formula>
    </cfRule>
    <cfRule type="cellIs" dxfId="76" priority="101" operator="equal">
      <formula>8</formula>
    </cfRule>
    <cfRule type="cellIs" dxfId="75" priority="100" operator="equal">
      <formula>12</formula>
    </cfRule>
    <cfRule type="cellIs" dxfId="74" priority="99" operator="equal">
      <formula>10</formula>
    </cfRule>
    <cfRule type="cellIs" dxfId="73" priority="98" operator="equal">
      <formula>20</formula>
    </cfRule>
    <cfRule type="cellIs" dxfId="72" priority="97" operator="equal">
      <formula>2</formula>
    </cfRule>
  </conditionalFormatting>
  <conditionalFormatting sqref="AT7:AV8">
    <cfRule type="cellIs" dxfId="71" priority="110" operator="equal">
      <formula>30</formula>
    </cfRule>
    <cfRule type="cellIs" dxfId="70" priority="112" operator="between">
      <formula>4</formula>
      <formula>6</formula>
    </cfRule>
    <cfRule type="cellIs" dxfId="69" priority="111" operator="equal">
      <formula>15</formula>
    </cfRule>
    <cfRule type="cellIs" dxfId="68" priority="109" operator="equal">
      <formula>8</formula>
    </cfRule>
    <cfRule type="cellIs" dxfId="67" priority="108" operator="equal">
      <formula>12</formula>
    </cfRule>
    <cfRule type="cellIs" dxfId="66" priority="107" operator="equal">
      <formula>10</formula>
    </cfRule>
    <cfRule type="cellIs" dxfId="65" priority="106" operator="equal">
      <formula>20</formula>
    </cfRule>
    <cfRule type="cellIs" dxfId="64" priority="105" operator="equal">
      <formula>2</formula>
    </cfRule>
  </conditionalFormatting>
  <conditionalFormatting sqref="AW9:AW16">
    <cfRule type="cellIs" dxfId="63" priority="114" operator="equal">
      <formula>20</formula>
    </cfRule>
    <cfRule type="cellIs" dxfId="62" priority="120" operator="between">
      <formula>4</formula>
      <formula>6</formula>
    </cfRule>
    <cfRule type="cellIs" dxfId="61" priority="119" operator="equal">
      <formula>15</formula>
    </cfRule>
    <cfRule type="cellIs" dxfId="60" priority="118" operator="equal">
      <formula>30</formula>
    </cfRule>
    <cfRule type="cellIs" dxfId="59" priority="117" operator="equal">
      <formula>8</formula>
    </cfRule>
    <cfRule type="cellIs" dxfId="58" priority="116" operator="equal">
      <formula>12</formula>
    </cfRule>
    <cfRule type="cellIs" dxfId="57" priority="115" operator="equal">
      <formula>10</formula>
    </cfRule>
    <cfRule type="cellIs" dxfId="56" priority="113" operator="equal">
      <formula>2</formula>
    </cfRule>
  </conditionalFormatting>
  <conditionalFormatting sqref="AW18:AW25">
    <cfRule type="cellIs" dxfId="55" priority="22" operator="equal">
      <formula>20</formula>
    </cfRule>
    <cfRule type="cellIs" dxfId="54" priority="21" operator="equal">
      <formula>2</formula>
    </cfRule>
    <cfRule type="cellIs" dxfId="53" priority="23" operator="equal">
      <formula>10</formula>
    </cfRule>
    <cfRule type="cellIs" dxfId="52" priority="24" operator="equal">
      <formula>12</formula>
    </cfRule>
    <cfRule type="cellIs" dxfId="51" priority="25" operator="equal">
      <formula>8</formula>
    </cfRule>
    <cfRule type="cellIs" dxfId="50" priority="26" operator="equal">
      <formula>30</formula>
    </cfRule>
    <cfRule type="cellIs" dxfId="49" priority="27" operator="equal">
      <formula>15</formula>
    </cfRule>
    <cfRule type="cellIs" dxfId="48" priority="28" operator="between">
      <formula>4</formula>
      <formula>6</formula>
    </cfRule>
  </conditionalFormatting>
  <conditionalFormatting sqref="AW27 AW29:AW34 AW36:AW43 AW45:AW52">
    <cfRule type="cellIs" dxfId="47" priority="15" operator="equal">
      <formula>10</formula>
    </cfRule>
    <cfRule type="cellIs" dxfId="46" priority="13" operator="equal">
      <formula>2</formula>
    </cfRule>
    <cfRule type="cellIs" dxfId="45" priority="14" operator="equal">
      <formula>20</formula>
    </cfRule>
    <cfRule type="cellIs" dxfId="44" priority="16" operator="equal">
      <formula>12</formula>
    </cfRule>
    <cfRule type="cellIs" dxfId="43" priority="17" operator="equal">
      <formula>8</formula>
    </cfRule>
    <cfRule type="cellIs" dxfId="42" priority="18" operator="equal">
      <formula>30</formula>
    </cfRule>
    <cfRule type="cellIs" dxfId="41" priority="19" operator="equal">
      <formula>15</formula>
    </cfRule>
    <cfRule type="cellIs" dxfId="40" priority="20" operator="between">
      <formula>4</formula>
      <formula>6</formula>
    </cfRule>
  </conditionalFormatting>
  <conditionalFormatting sqref="AW28">
    <cfRule type="cellIs" dxfId="39" priority="2" operator="equal">
      <formula>15</formula>
    </cfRule>
    <cfRule type="cellIs" dxfId="38" priority="4" operator="between">
      <formula>4</formula>
      <formula>6</formula>
    </cfRule>
    <cfRule type="cellIs" dxfId="37" priority="3" operator="between">
      <formula>8</formula>
      <formula>12</formula>
    </cfRule>
    <cfRule type="cellIs" dxfId="36" priority="1" operator="equal">
      <formula>30</formula>
    </cfRule>
  </conditionalFormatting>
  <conditionalFormatting sqref="BB13">
    <cfRule type="cellIs" dxfId="35" priority="60" operator="equal">
      <formula>12</formula>
    </cfRule>
    <cfRule type="cellIs" dxfId="34" priority="57" operator="equal">
      <formula>2</formula>
    </cfRule>
    <cfRule type="cellIs" dxfId="33" priority="58" operator="equal">
      <formula>20</formula>
    </cfRule>
    <cfRule type="cellIs" dxfId="32" priority="59" operator="equal">
      <formula>10</formula>
    </cfRule>
    <cfRule type="cellIs" dxfId="31" priority="61" operator="equal">
      <formula>8</formula>
    </cfRule>
    <cfRule type="cellIs" dxfId="30" priority="64" operator="between">
      <formula>4</formula>
      <formula>6</formula>
    </cfRule>
    <cfRule type="cellIs" dxfId="29" priority="62" operator="equal">
      <formula>30</formula>
    </cfRule>
    <cfRule type="cellIs" dxfId="28" priority="63" operator="equal">
      <formula>15</formula>
    </cfRule>
  </conditionalFormatting>
  <conditionalFormatting sqref="BG13">
    <cfRule type="cellIs" dxfId="27" priority="50" operator="equal">
      <formula>20</formula>
    </cfRule>
    <cfRule type="cellIs" dxfId="26" priority="49" operator="equal">
      <formula>2</formula>
    </cfRule>
    <cfRule type="cellIs" dxfId="25" priority="54" operator="equal">
      <formula>30</formula>
    </cfRule>
    <cfRule type="cellIs" dxfId="24" priority="55" operator="equal">
      <formula>15</formula>
    </cfRule>
    <cfRule type="cellIs" dxfId="23" priority="56" operator="between">
      <formula>4</formula>
      <formula>6</formula>
    </cfRule>
    <cfRule type="cellIs" dxfId="22" priority="53" operator="equal">
      <formula>8</formula>
    </cfRule>
    <cfRule type="cellIs" dxfId="21" priority="52" operator="equal">
      <formula>12</formula>
    </cfRule>
    <cfRule type="cellIs" dxfId="20" priority="51" operator="equal">
      <formula>10</formula>
    </cfRule>
  </conditionalFormatting>
  <conditionalFormatting sqref="BL13">
    <cfRule type="cellIs" dxfId="19" priority="48" operator="between">
      <formula>4</formula>
      <formula>6</formula>
    </cfRule>
    <cfRule type="cellIs" dxfId="18" priority="47" operator="equal">
      <formula>15</formula>
    </cfRule>
    <cfRule type="cellIs" dxfId="17" priority="46" operator="equal">
      <formula>30</formula>
    </cfRule>
    <cfRule type="cellIs" dxfId="16" priority="45" operator="equal">
      <formula>8</formula>
    </cfRule>
    <cfRule type="cellIs" dxfId="15" priority="44" operator="equal">
      <formula>12</formula>
    </cfRule>
    <cfRule type="cellIs" dxfId="14" priority="43" operator="equal">
      <formula>10</formula>
    </cfRule>
    <cfRule type="cellIs" dxfId="13" priority="42" operator="equal">
      <formula>20</formula>
    </cfRule>
    <cfRule type="cellIs" dxfId="12" priority="41" operator="equal">
      <formula>2</formula>
    </cfRule>
  </conditionalFormatting>
  <conditionalFormatting sqref="BL20">
    <cfRule type="cellIs" dxfId="11" priority="11" operator="equal">
      <formula>15</formula>
    </cfRule>
    <cfRule type="cellIs" dxfId="10" priority="12" operator="between">
      <formula>4</formula>
      <formula>6</formula>
    </cfRule>
    <cfRule type="cellIs" dxfId="9" priority="10" operator="equal">
      <formula>30</formula>
    </cfRule>
    <cfRule type="cellIs" dxfId="8" priority="9" operator="equal">
      <formula>8</formula>
    </cfRule>
    <cfRule type="cellIs" dxfId="7" priority="8" operator="equal">
      <formula>12</formula>
    </cfRule>
    <cfRule type="cellIs" dxfId="6" priority="7" operator="equal">
      <formula>10</formula>
    </cfRule>
    <cfRule type="cellIs" dxfId="5" priority="6" operator="equal">
      <formula>20</formula>
    </cfRule>
    <cfRule type="cellIs" dxfId="4" priority="5" operator="equal">
      <formula>2</formula>
    </cfRule>
  </conditionalFormatting>
  <conditionalFormatting sqref="BQ9:BQ1048576">
    <cfRule type="cellIs" dxfId="3" priority="37" operator="equal">
      <formula>30</formula>
    </cfRule>
    <cfRule type="cellIs" dxfId="2" priority="40" operator="between">
      <formula>4</formula>
      <formula>6</formula>
    </cfRule>
    <cfRule type="cellIs" dxfId="1" priority="39" operator="between">
      <formula>8</formula>
      <formula>12</formula>
    </cfRule>
    <cfRule type="cellIs" dxfId="0" priority="38" operator="equal">
      <formula>15</formula>
    </cfRule>
  </conditionalFormatting>
  <pageMargins left="0.7" right="0.7" top="0.78740157499999996" bottom="0.78740157499999996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1:AY44"/>
  <sheetViews>
    <sheetView zoomScale="106" zoomScaleNormal="85" workbookViewId="0">
      <selection activeCell="V13" sqref="V13"/>
    </sheetView>
  </sheetViews>
  <sheetFormatPr defaultRowHeight="15" x14ac:dyDescent="0.25"/>
  <cols>
    <col min="2" max="2" width="22.85546875" customWidth="1"/>
    <col min="5" max="5" width="3.42578125" bestFit="1" customWidth="1"/>
    <col min="6" max="6" width="17.42578125" customWidth="1"/>
    <col min="7" max="8" width="7" customWidth="1"/>
    <col min="9" max="9" width="3.42578125" bestFit="1" customWidth="1"/>
    <col min="10" max="10" width="19.5703125" customWidth="1"/>
    <col min="11" max="11" width="7.5703125" bestFit="1" customWidth="1"/>
    <col min="12" max="12" width="6.42578125" customWidth="1"/>
    <col min="13" max="13" width="3.7109375" customWidth="1"/>
    <col min="14" max="14" width="18.85546875" customWidth="1"/>
    <col min="15" max="15" width="7.5703125" bestFit="1" customWidth="1"/>
    <col min="16" max="16" width="4.140625" customWidth="1"/>
    <col min="17" max="17" width="3.42578125" bestFit="1" customWidth="1"/>
    <col min="18" max="18" width="16.5703125" bestFit="1" customWidth="1"/>
    <col min="19" max="19" width="7.5703125" bestFit="1" customWidth="1"/>
    <col min="20" max="20" width="4.85546875" customWidth="1"/>
    <col min="21" max="21" width="3.42578125" bestFit="1" customWidth="1"/>
    <col min="22" max="22" width="16.5703125" bestFit="1" customWidth="1"/>
    <col min="23" max="23" width="7.5703125" bestFit="1" customWidth="1"/>
    <col min="24" max="24" width="4.5703125" customWidth="1"/>
    <col min="25" max="25" width="3.42578125" bestFit="1" customWidth="1"/>
    <col min="26" max="26" width="14.5703125" customWidth="1"/>
    <col min="27" max="27" width="7.5703125" bestFit="1" customWidth="1"/>
    <col min="28" max="28" width="4.5703125" customWidth="1"/>
    <col min="29" max="29" width="3.42578125" bestFit="1" customWidth="1"/>
    <col min="30" max="30" width="16.5703125" bestFit="1" customWidth="1"/>
    <col min="31" max="31" width="7.5703125" bestFit="1" customWidth="1"/>
    <col min="32" max="32" width="5.140625" customWidth="1"/>
    <col min="33" max="33" width="3.42578125" bestFit="1" customWidth="1"/>
    <col min="34" max="34" width="16.5703125" bestFit="1" customWidth="1"/>
    <col min="35" max="35" width="7.5703125" bestFit="1" customWidth="1"/>
    <col min="36" max="36" width="5.140625" customWidth="1"/>
    <col min="37" max="37" width="3.42578125" bestFit="1" customWidth="1"/>
    <col min="38" max="38" width="16.5703125" bestFit="1" customWidth="1"/>
    <col min="39" max="39" width="7.5703125" bestFit="1" customWidth="1"/>
    <col min="40" max="40" width="5.140625" customWidth="1"/>
    <col min="41" max="41" width="3.42578125" bestFit="1" customWidth="1"/>
    <col min="42" max="42" width="16.5703125" bestFit="1" customWidth="1"/>
    <col min="43" max="43" width="7.42578125" customWidth="1"/>
    <col min="44" max="44" width="5" customWidth="1"/>
    <col min="45" max="45" width="3.42578125" bestFit="1" customWidth="1"/>
    <col min="46" max="46" width="16.5703125" bestFit="1" customWidth="1"/>
    <col min="47" max="47" width="7.42578125" customWidth="1"/>
    <col min="48" max="48" width="5" customWidth="1"/>
    <col min="49" max="49" width="3.42578125" bestFit="1" customWidth="1"/>
    <col min="50" max="50" width="16.5703125" bestFit="1" customWidth="1"/>
    <col min="51" max="51" width="7.42578125" customWidth="1"/>
  </cols>
  <sheetData>
    <row r="1" spans="2:51" x14ac:dyDescent="0.25">
      <c r="D1" s="254" t="s">
        <v>40</v>
      </c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</row>
    <row r="2" spans="2:51" x14ac:dyDescent="0.25">
      <c r="D2" s="254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  <c r="Q2" s="255"/>
      <c r="R2" s="255"/>
    </row>
    <row r="3" spans="2:51" x14ac:dyDescent="0.25">
      <c r="D3" s="254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</row>
    <row r="4" spans="2:51" ht="15.75" thickBot="1" x14ac:dyDescent="0.3"/>
    <row r="5" spans="2:51" s="75" customFormat="1" ht="27" thickBot="1" x14ac:dyDescent="0.45">
      <c r="F5" s="35" t="s">
        <v>7</v>
      </c>
      <c r="G5" s="76">
        <f>SUM(G7:H22)</f>
        <v>0</v>
      </c>
      <c r="J5" s="77" t="s">
        <v>4</v>
      </c>
      <c r="K5" s="76">
        <f>SUM(K7:K22)</f>
        <v>0</v>
      </c>
      <c r="N5" s="78" t="s">
        <v>10</v>
      </c>
      <c r="O5" s="76">
        <f>SUM(O7:O22)</f>
        <v>0</v>
      </c>
      <c r="R5" s="79" t="s">
        <v>9</v>
      </c>
      <c r="S5" s="76">
        <f>SUM(S7:S22)</f>
        <v>0</v>
      </c>
      <c r="V5" s="80" t="s">
        <v>5</v>
      </c>
      <c r="W5" s="76">
        <f>SUM(W7:W22)</f>
        <v>0</v>
      </c>
      <c r="Z5" s="23" t="s">
        <v>11</v>
      </c>
      <c r="AA5" s="76">
        <f>SUM(AA7:AA22)</f>
        <v>0</v>
      </c>
      <c r="AD5" s="81" t="s">
        <v>27</v>
      </c>
      <c r="AE5" s="76">
        <f>SUM(AE7:AE22)</f>
        <v>0</v>
      </c>
      <c r="AH5" s="189" t="s">
        <v>28</v>
      </c>
      <c r="AI5" s="76">
        <f>SUM(AI7:AI22)</f>
        <v>0</v>
      </c>
      <c r="AL5" s="124" t="s">
        <v>34</v>
      </c>
      <c r="AM5" s="76">
        <f>SUM(AM7:AM22)</f>
        <v>0</v>
      </c>
      <c r="AP5" s="152" t="s">
        <v>36</v>
      </c>
      <c r="AQ5" s="76">
        <f>SUM(AQ7:AQ22)</f>
        <v>0</v>
      </c>
      <c r="AT5" s="35" t="s">
        <v>53</v>
      </c>
      <c r="AU5" s="76">
        <f>SUM(AU7:AU22)</f>
        <v>0</v>
      </c>
      <c r="AX5" s="231" t="s">
        <v>55</v>
      </c>
      <c r="AY5" s="76">
        <f>SUM(AY7:AY22)</f>
        <v>0</v>
      </c>
    </row>
    <row r="6" spans="2:51" ht="27" thickBot="1" x14ac:dyDescent="0.45">
      <c r="H6" s="75"/>
    </row>
    <row r="7" spans="2:51" ht="27" thickBot="1" x14ac:dyDescent="0.45">
      <c r="B7" s="184" t="s">
        <v>22</v>
      </c>
      <c r="E7" s="172">
        <v>1</v>
      </c>
      <c r="F7" s="184" t="s">
        <v>22</v>
      </c>
      <c r="G7" s="181"/>
      <c r="H7" s="75"/>
      <c r="I7" s="172">
        <v>1</v>
      </c>
      <c r="J7" s="184" t="s">
        <v>22</v>
      </c>
      <c r="K7" s="181"/>
      <c r="M7" s="172">
        <v>1</v>
      </c>
      <c r="N7" s="185" t="s">
        <v>23</v>
      </c>
      <c r="O7" s="181"/>
      <c r="Q7" s="172">
        <v>1</v>
      </c>
      <c r="R7" s="184" t="s">
        <v>22</v>
      </c>
      <c r="S7" s="181"/>
      <c r="U7" s="172">
        <v>1</v>
      </c>
      <c r="V7" s="184" t="s">
        <v>23</v>
      </c>
      <c r="W7" s="181"/>
      <c r="Y7" s="172">
        <v>1</v>
      </c>
      <c r="Z7" s="184" t="s">
        <v>22</v>
      </c>
      <c r="AA7" s="181"/>
      <c r="AC7" s="172">
        <v>1</v>
      </c>
      <c r="AD7" s="184" t="s">
        <v>22</v>
      </c>
      <c r="AE7" s="181"/>
      <c r="AG7" s="172">
        <v>1</v>
      </c>
      <c r="AH7" s="184" t="s">
        <v>22</v>
      </c>
      <c r="AI7" s="181"/>
      <c r="AK7" s="172">
        <v>1</v>
      </c>
      <c r="AL7" s="184" t="s">
        <v>22</v>
      </c>
      <c r="AM7" s="181"/>
      <c r="AO7" s="172">
        <v>1</v>
      </c>
      <c r="AP7" s="184" t="s">
        <v>22</v>
      </c>
      <c r="AQ7" s="181"/>
      <c r="AS7" s="172">
        <v>1</v>
      </c>
      <c r="AT7" s="184" t="s">
        <v>22</v>
      </c>
      <c r="AU7" s="181"/>
      <c r="AW7" s="172">
        <v>1</v>
      </c>
      <c r="AX7" s="184" t="s">
        <v>23</v>
      </c>
      <c r="AY7" s="181"/>
    </row>
    <row r="8" spans="2:51" ht="26.25" x14ac:dyDescent="0.4">
      <c r="B8" s="185" t="s">
        <v>23</v>
      </c>
      <c r="E8" s="173">
        <v>2</v>
      </c>
      <c r="F8" s="185" t="s">
        <v>23</v>
      </c>
      <c r="G8" s="182"/>
      <c r="H8" s="75"/>
      <c r="I8" s="173">
        <v>2</v>
      </c>
      <c r="J8" s="185" t="s">
        <v>23</v>
      </c>
      <c r="K8" s="182"/>
      <c r="M8" s="173">
        <v>2</v>
      </c>
      <c r="N8" s="184" t="s">
        <v>22</v>
      </c>
      <c r="O8" s="182"/>
      <c r="Q8" s="173">
        <v>2</v>
      </c>
      <c r="R8" s="185" t="s">
        <v>15</v>
      </c>
      <c r="S8" s="182"/>
      <c r="U8" s="173">
        <v>2</v>
      </c>
      <c r="V8" s="185" t="s">
        <v>22</v>
      </c>
      <c r="W8" s="182"/>
      <c r="Y8" s="173">
        <v>2</v>
      </c>
      <c r="Z8" s="185" t="s">
        <v>23</v>
      </c>
      <c r="AA8" s="182"/>
      <c r="AC8" s="173">
        <v>2</v>
      </c>
      <c r="AD8" s="185" t="s">
        <v>23</v>
      </c>
      <c r="AE8" s="182"/>
      <c r="AG8" s="173">
        <v>2</v>
      </c>
      <c r="AH8" s="185" t="s">
        <v>23</v>
      </c>
      <c r="AI8" s="182"/>
      <c r="AK8" s="173">
        <v>2</v>
      </c>
      <c r="AL8" s="185" t="s">
        <v>15</v>
      </c>
      <c r="AM8" s="182"/>
      <c r="AO8" s="173">
        <v>2</v>
      </c>
      <c r="AP8" s="185" t="s">
        <v>23</v>
      </c>
      <c r="AQ8" s="182"/>
      <c r="AS8" s="173">
        <v>2</v>
      </c>
      <c r="AT8" s="185" t="s">
        <v>23</v>
      </c>
      <c r="AU8" s="182"/>
      <c r="AW8" s="173">
        <v>2</v>
      </c>
      <c r="AX8" s="185" t="s">
        <v>22</v>
      </c>
      <c r="AY8" s="182"/>
    </row>
    <row r="9" spans="2:51" ht="26.25" x14ac:dyDescent="0.4">
      <c r="B9" s="185" t="s">
        <v>15</v>
      </c>
      <c r="E9" s="173">
        <v>3</v>
      </c>
      <c r="F9" s="185" t="s">
        <v>15</v>
      </c>
      <c r="G9" s="182"/>
      <c r="H9" s="75"/>
      <c r="I9" s="173">
        <v>3</v>
      </c>
      <c r="J9" s="185" t="s">
        <v>15</v>
      </c>
      <c r="K9" s="182"/>
      <c r="M9" s="173">
        <v>3</v>
      </c>
      <c r="N9" s="185" t="s">
        <v>15</v>
      </c>
      <c r="O9" s="182"/>
      <c r="Q9" s="173">
        <v>3</v>
      </c>
      <c r="R9" s="185" t="s">
        <v>23</v>
      </c>
      <c r="S9" s="182"/>
      <c r="U9" s="173">
        <v>3</v>
      </c>
      <c r="V9" s="185" t="s">
        <v>15</v>
      </c>
      <c r="W9" s="182"/>
      <c r="Y9" s="173">
        <v>3</v>
      </c>
      <c r="Z9" s="185" t="s">
        <v>15</v>
      </c>
      <c r="AA9" s="182"/>
      <c r="AC9" s="173">
        <v>3</v>
      </c>
      <c r="AD9" s="185" t="s">
        <v>15</v>
      </c>
      <c r="AE9" s="182"/>
      <c r="AG9" s="173">
        <v>3</v>
      </c>
      <c r="AH9" s="185" t="s">
        <v>15</v>
      </c>
      <c r="AI9" s="182"/>
      <c r="AK9" s="173">
        <v>3</v>
      </c>
      <c r="AL9" s="185" t="s">
        <v>23</v>
      </c>
      <c r="AM9" s="182"/>
      <c r="AO9" s="173">
        <v>3</v>
      </c>
      <c r="AP9" s="185" t="s">
        <v>15</v>
      </c>
      <c r="AQ9" s="182"/>
      <c r="AS9" s="173">
        <v>3</v>
      </c>
      <c r="AT9" s="185" t="s">
        <v>15</v>
      </c>
      <c r="AU9" s="182"/>
      <c r="AW9" s="173">
        <v>3</v>
      </c>
      <c r="AX9" s="185" t="s">
        <v>15</v>
      </c>
      <c r="AY9" s="182"/>
    </row>
    <row r="10" spans="2:51" ht="26.25" x14ac:dyDescent="0.4">
      <c r="B10" s="185" t="s">
        <v>46</v>
      </c>
      <c r="E10" s="173">
        <v>4</v>
      </c>
      <c r="F10" s="185" t="s">
        <v>17</v>
      </c>
      <c r="G10" s="182"/>
      <c r="H10" s="75"/>
      <c r="I10" s="173">
        <v>4</v>
      </c>
      <c r="J10" s="185" t="s">
        <v>17</v>
      </c>
      <c r="K10" s="182"/>
      <c r="M10" s="173">
        <v>4</v>
      </c>
      <c r="N10" s="185" t="s">
        <v>19</v>
      </c>
      <c r="O10" s="182"/>
      <c r="Q10" s="173">
        <v>4</v>
      </c>
      <c r="R10" s="185" t="s">
        <v>17</v>
      </c>
      <c r="S10" s="182"/>
      <c r="U10" s="173">
        <v>4</v>
      </c>
      <c r="V10" s="185" t="s">
        <v>56</v>
      </c>
      <c r="W10" s="182"/>
      <c r="Y10" s="173">
        <v>4</v>
      </c>
      <c r="Z10" s="185" t="s">
        <v>16</v>
      </c>
      <c r="AA10" s="182"/>
      <c r="AC10" s="173">
        <v>4</v>
      </c>
      <c r="AD10" s="185" t="s">
        <v>46</v>
      </c>
      <c r="AE10" s="182"/>
      <c r="AG10" s="173">
        <v>4</v>
      </c>
      <c r="AH10" s="185" t="s">
        <v>17</v>
      </c>
      <c r="AI10" s="182"/>
      <c r="AK10" s="173">
        <v>4</v>
      </c>
      <c r="AL10" s="185" t="s">
        <v>16</v>
      </c>
      <c r="AM10" s="182"/>
      <c r="AO10" s="173">
        <v>4</v>
      </c>
      <c r="AP10" s="185" t="s">
        <v>17</v>
      </c>
      <c r="AQ10" s="182"/>
      <c r="AS10" s="173">
        <v>4</v>
      </c>
      <c r="AT10" s="185" t="s">
        <v>17</v>
      </c>
      <c r="AU10" s="182"/>
      <c r="AW10" s="173">
        <v>4</v>
      </c>
      <c r="AX10" s="185" t="s">
        <v>46</v>
      </c>
      <c r="AY10" s="182"/>
    </row>
    <row r="11" spans="2:51" ht="26.25" x14ac:dyDescent="0.4">
      <c r="B11" s="185" t="s">
        <v>19</v>
      </c>
      <c r="E11" s="173">
        <v>5</v>
      </c>
      <c r="F11" s="185" t="s">
        <v>16</v>
      </c>
      <c r="G11" s="182"/>
      <c r="H11" s="75"/>
      <c r="I11" s="173">
        <v>5</v>
      </c>
      <c r="J11" s="185" t="s">
        <v>46</v>
      </c>
      <c r="K11" s="182"/>
      <c r="M11" s="173">
        <v>5</v>
      </c>
      <c r="N11" s="185" t="s">
        <v>44</v>
      </c>
      <c r="O11" s="182"/>
      <c r="Q11" s="173">
        <v>5</v>
      </c>
      <c r="R11" s="185" t="s">
        <v>16</v>
      </c>
      <c r="S11" s="182"/>
      <c r="U11" s="173">
        <v>5</v>
      </c>
      <c r="V11" s="185" t="s">
        <v>46</v>
      </c>
      <c r="W11" s="182"/>
      <c r="Y11" s="173">
        <v>5</v>
      </c>
      <c r="Z11" s="185" t="s">
        <v>37</v>
      </c>
      <c r="AA11" s="182"/>
      <c r="AC11" s="173">
        <v>5</v>
      </c>
      <c r="AD11" s="185" t="s">
        <v>44</v>
      </c>
      <c r="AE11" s="182"/>
      <c r="AG11" s="173">
        <v>5</v>
      </c>
      <c r="AH11" s="185" t="s">
        <v>46</v>
      </c>
      <c r="AI11" s="182"/>
      <c r="AK11" s="173">
        <v>5</v>
      </c>
      <c r="AL11" s="185" t="s">
        <v>46</v>
      </c>
      <c r="AM11" s="182"/>
      <c r="AO11" s="173">
        <v>5</v>
      </c>
      <c r="AP11" s="185" t="s">
        <v>16</v>
      </c>
      <c r="AQ11" s="182"/>
      <c r="AS11" s="173">
        <v>5</v>
      </c>
      <c r="AT11" s="185" t="s">
        <v>46</v>
      </c>
      <c r="AU11" s="182"/>
      <c r="AW11" s="173">
        <v>5</v>
      </c>
      <c r="AX11" s="185" t="s">
        <v>16</v>
      </c>
      <c r="AY11" s="182"/>
    </row>
    <row r="12" spans="2:51" ht="27" thickBot="1" x14ac:dyDescent="0.45">
      <c r="B12" s="185" t="s">
        <v>16</v>
      </c>
      <c r="E12" s="174">
        <v>6</v>
      </c>
      <c r="F12" s="185" t="s">
        <v>46</v>
      </c>
      <c r="G12" s="182"/>
      <c r="H12" s="75"/>
      <c r="I12" s="174">
        <v>6</v>
      </c>
      <c r="J12" s="185" t="s">
        <v>16</v>
      </c>
      <c r="K12" s="182"/>
      <c r="M12" s="174">
        <v>6</v>
      </c>
      <c r="N12" s="185" t="s">
        <v>46</v>
      </c>
      <c r="O12" s="182"/>
      <c r="Q12" s="174">
        <v>6</v>
      </c>
      <c r="R12" s="185" t="s">
        <v>44</v>
      </c>
      <c r="S12" s="182"/>
      <c r="U12" s="174">
        <v>6</v>
      </c>
      <c r="V12" s="185" t="s">
        <v>16</v>
      </c>
      <c r="W12" s="182"/>
      <c r="Y12" s="174">
        <v>6</v>
      </c>
      <c r="Z12" s="185" t="s">
        <v>46</v>
      </c>
      <c r="AA12" s="182"/>
      <c r="AC12" s="174">
        <v>6</v>
      </c>
      <c r="AD12" s="185" t="s">
        <v>16</v>
      </c>
      <c r="AE12" s="182"/>
      <c r="AG12" s="174">
        <v>6</v>
      </c>
      <c r="AH12" s="185" t="s">
        <v>16</v>
      </c>
      <c r="AI12" s="182"/>
      <c r="AK12" s="174">
        <v>6</v>
      </c>
      <c r="AL12" s="185" t="s">
        <v>19</v>
      </c>
      <c r="AM12" s="182"/>
      <c r="AO12" s="174">
        <v>6</v>
      </c>
      <c r="AP12" s="185" t="s">
        <v>19</v>
      </c>
      <c r="AQ12" s="182"/>
      <c r="AS12" s="174">
        <v>6</v>
      </c>
      <c r="AT12" s="185" t="s">
        <v>19</v>
      </c>
      <c r="AU12" s="182"/>
      <c r="AW12" s="174">
        <v>6</v>
      </c>
      <c r="AX12" s="185" t="s">
        <v>19</v>
      </c>
      <c r="AY12" s="182"/>
    </row>
    <row r="13" spans="2:51" ht="26.25" x14ac:dyDescent="0.4">
      <c r="B13" s="185" t="s">
        <v>17</v>
      </c>
      <c r="E13" s="175">
        <v>7</v>
      </c>
      <c r="F13" s="185" t="s">
        <v>19</v>
      </c>
      <c r="G13" s="182"/>
      <c r="H13" s="75"/>
      <c r="I13" s="175">
        <v>7</v>
      </c>
      <c r="J13" s="185" t="s">
        <v>37</v>
      </c>
      <c r="K13" s="182"/>
      <c r="M13" s="175">
        <v>7</v>
      </c>
      <c r="N13" s="185" t="s">
        <v>16</v>
      </c>
      <c r="O13" s="182"/>
      <c r="Q13" s="175">
        <v>7</v>
      </c>
      <c r="R13" s="185" t="s">
        <v>46</v>
      </c>
      <c r="S13" s="182"/>
      <c r="U13" s="175">
        <v>7</v>
      </c>
      <c r="V13" s="185" t="s">
        <v>19</v>
      </c>
      <c r="W13" s="182"/>
      <c r="Y13" s="175">
        <v>7</v>
      </c>
      <c r="Z13" s="185" t="s">
        <v>19</v>
      </c>
      <c r="AA13" s="182"/>
      <c r="AC13" s="175">
        <v>7</v>
      </c>
      <c r="AD13" s="185" t="s">
        <v>17</v>
      </c>
      <c r="AE13" s="182"/>
      <c r="AG13" s="175">
        <v>7</v>
      </c>
      <c r="AH13" s="185" t="s">
        <v>19</v>
      </c>
      <c r="AI13" s="182"/>
      <c r="AK13" s="175">
        <v>7</v>
      </c>
      <c r="AL13" s="185" t="s">
        <v>17</v>
      </c>
      <c r="AM13" s="182"/>
      <c r="AO13" s="175">
        <v>7</v>
      </c>
      <c r="AP13" s="185" t="s">
        <v>46</v>
      </c>
      <c r="AQ13" s="182"/>
      <c r="AS13" s="175">
        <v>7</v>
      </c>
      <c r="AT13" s="185" t="s">
        <v>45</v>
      </c>
      <c r="AU13" s="182"/>
      <c r="AW13" s="175">
        <v>7</v>
      </c>
      <c r="AX13" s="185" t="s">
        <v>17</v>
      </c>
      <c r="AY13" s="182"/>
    </row>
    <row r="14" spans="2:51" ht="26.25" x14ac:dyDescent="0.4">
      <c r="B14" s="185" t="s">
        <v>18</v>
      </c>
      <c r="E14" s="176">
        <v>8</v>
      </c>
      <c r="F14" s="185" t="s">
        <v>44</v>
      </c>
      <c r="G14" s="182"/>
      <c r="H14" s="75"/>
      <c r="I14" s="176">
        <v>8</v>
      </c>
      <c r="J14" s="185" t="s">
        <v>18</v>
      </c>
      <c r="K14" s="182"/>
      <c r="M14" s="176">
        <v>8</v>
      </c>
      <c r="N14" s="185" t="s">
        <v>17</v>
      </c>
      <c r="O14" s="182"/>
      <c r="Q14" s="176">
        <v>8</v>
      </c>
      <c r="R14" s="185" t="s">
        <v>19</v>
      </c>
      <c r="S14" s="182"/>
      <c r="U14" s="176">
        <v>8</v>
      </c>
      <c r="V14" s="185" t="s">
        <v>37</v>
      </c>
      <c r="W14" s="182"/>
      <c r="Y14" s="176">
        <v>8</v>
      </c>
      <c r="Z14" s="185" t="s">
        <v>18</v>
      </c>
      <c r="AA14" s="182"/>
      <c r="AC14" s="176">
        <v>8</v>
      </c>
      <c r="AD14" s="185" t="s">
        <v>45</v>
      </c>
      <c r="AE14" s="182"/>
      <c r="AG14" s="176">
        <v>8</v>
      </c>
      <c r="AH14" s="185" t="s">
        <v>50</v>
      </c>
      <c r="AI14" s="182"/>
      <c r="AK14" s="176">
        <v>8</v>
      </c>
      <c r="AL14" s="185" t="s">
        <v>18</v>
      </c>
      <c r="AM14" s="182"/>
      <c r="AO14" s="176">
        <v>8</v>
      </c>
      <c r="AP14" s="185" t="s">
        <v>44</v>
      </c>
      <c r="AQ14" s="182"/>
      <c r="AS14" s="176">
        <v>8</v>
      </c>
      <c r="AT14" s="185" t="s">
        <v>16</v>
      </c>
      <c r="AU14" s="182"/>
      <c r="AW14" s="176">
        <v>8</v>
      </c>
      <c r="AX14" s="185" t="s">
        <v>18</v>
      </c>
      <c r="AY14" s="182"/>
    </row>
    <row r="15" spans="2:51" ht="26.25" x14ac:dyDescent="0.4">
      <c r="B15" s="185" t="s">
        <v>24</v>
      </c>
      <c r="E15" s="176">
        <v>9</v>
      </c>
      <c r="F15" s="185" t="s">
        <v>20</v>
      </c>
      <c r="G15" s="182"/>
      <c r="H15" s="75"/>
      <c r="I15" s="176">
        <v>9</v>
      </c>
      <c r="J15" s="185" t="s">
        <v>19</v>
      </c>
      <c r="K15" s="182"/>
      <c r="M15" s="176">
        <v>9</v>
      </c>
      <c r="N15" s="185" t="s">
        <v>45</v>
      </c>
      <c r="O15" s="182"/>
      <c r="Q15" s="176">
        <v>9</v>
      </c>
      <c r="R15" s="185" t="s">
        <v>18</v>
      </c>
      <c r="S15" s="182"/>
      <c r="U15" s="176">
        <v>9</v>
      </c>
      <c r="V15" s="185" t="s">
        <v>18</v>
      </c>
      <c r="W15" s="182"/>
      <c r="Y15" s="176">
        <v>9</v>
      </c>
      <c r="Z15" s="185" t="s">
        <v>17</v>
      </c>
      <c r="AA15" s="182"/>
      <c r="AC15" s="176">
        <v>9</v>
      </c>
      <c r="AD15" s="185" t="s">
        <v>24</v>
      </c>
      <c r="AE15" s="182"/>
      <c r="AG15" s="176">
        <v>9</v>
      </c>
      <c r="AH15" s="185" t="s">
        <v>51</v>
      </c>
      <c r="AI15" s="182"/>
      <c r="AK15" s="176">
        <v>9</v>
      </c>
      <c r="AL15" s="185" t="s">
        <v>44</v>
      </c>
      <c r="AM15" s="182"/>
      <c r="AO15" s="176">
        <v>9</v>
      </c>
      <c r="AP15" s="185" t="s">
        <v>37</v>
      </c>
      <c r="AQ15" s="182"/>
      <c r="AS15" s="176">
        <v>9</v>
      </c>
      <c r="AT15" s="185" t="s">
        <v>44</v>
      </c>
      <c r="AU15" s="182"/>
      <c r="AW15" s="176">
        <v>9</v>
      </c>
      <c r="AX15" s="185" t="s">
        <v>44</v>
      </c>
      <c r="AY15" s="182"/>
    </row>
    <row r="16" spans="2:51" ht="27" thickBot="1" x14ac:dyDescent="0.45">
      <c r="B16" s="185" t="s">
        <v>21</v>
      </c>
      <c r="E16" s="177">
        <v>10</v>
      </c>
      <c r="F16" s="185" t="s">
        <v>37</v>
      </c>
      <c r="G16" s="182"/>
      <c r="H16" s="75"/>
      <c r="I16" s="177">
        <v>10</v>
      </c>
      <c r="J16" s="185" t="s">
        <v>44</v>
      </c>
      <c r="K16" s="182"/>
      <c r="M16" s="177">
        <v>10</v>
      </c>
      <c r="N16" s="185" t="s">
        <v>24</v>
      </c>
      <c r="O16" s="182"/>
      <c r="Q16" s="177">
        <v>10</v>
      </c>
      <c r="R16" s="185" t="s">
        <v>37</v>
      </c>
      <c r="S16" s="182"/>
      <c r="U16" s="177">
        <v>10</v>
      </c>
      <c r="V16" s="185" t="s">
        <v>21</v>
      </c>
      <c r="W16" s="182"/>
      <c r="Y16" s="177">
        <v>10</v>
      </c>
      <c r="Z16" s="185" t="s">
        <v>44</v>
      </c>
      <c r="AA16" s="182"/>
      <c r="AC16" s="177">
        <v>10</v>
      </c>
      <c r="AD16" s="185" t="s">
        <v>18</v>
      </c>
      <c r="AE16" s="182"/>
      <c r="AG16" s="177">
        <v>10</v>
      </c>
      <c r="AH16" s="185" t="s">
        <v>24</v>
      </c>
      <c r="AI16" s="182"/>
      <c r="AK16" s="177">
        <v>10</v>
      </c>
      <c r="AL16" s="185" t="s">
        <v>24</v>
      </c>
      <c r="AM16" s="182"/>
      <c r="AO16" s="177">
        <v>10</v>
      </c>
      <c r="AP16" s="185" t="s">
        <v>45</v>
      </c>
      <c r="AQ16" s="182"/>
      <c r="AS16" s="177">
        <v>10</v>
      </c>
      <c r="AT16" s="185" t="s">
        <v>37</v>
      </c>
      <c r="AU16" s="182"/>
      <c r="AW16" s="177">
        <v>10</v>
      </c>
      <c r="AX16" s="185" t="s">
        <v>45</v>
      </c>
      <c r="AY16" s="182"/>
    </row>
    <row r="17" spans="2:51" ht="26.25" x14ac:dyDescent="0.4">
      <c r="B17" s="185" t="s">
        <v>20</v>
      </c>
      <c r="E17" s="178">
        <v>11</v>
      </c>
      <c r="F17" s="185" t="s">
        <v>21</v>
      </c>
      <c r="G17" s="182"/>
      <c r="H17" s="75"/>
      <c r="I17" s="178">
        <v>11</v>
      </c>
      <c r="J17" s="185" t="s">
        <v>21</v>
      </c>
      <c r="K17" s="182"/>
      <c r="M17" s="178">
        <v>11</v>
      </c>
      <c r="N17" s="185" t="s">
        <v>20</v>
      </c>
      <c r="O17" s="182"/>
      <c r="Q17" s="178">
        <v>11</v>
      </c>
      <c r="R17" s="185" t="s">
        <v>45</v>
      </c>
      <c r="S17" s="182"/>
      <c r="U17" s="178">
        <v>11</v>
      </c>
      <c r="V17" s="185" t="s">
        <v>20</v>
      </c>
      <c r="W17" s="182"/>
      <c r="Y17" s="178">
        <v>11</v>
      </c>
      <c r="Z17" s="185" t="s">
        <v>45</v>
      </c>
      <c r="AA17" s="182"/>
      <c r="AC17" s="178">
        <v>11</v>
      </c>
      <c r="AD17" s="185" t="s">
        <v>21</v>
      </c>
      <c r="AE17" s="182"/>
      <c r="AG17" s="178">
        <v>11</v>
      </c>
      <c r="AH17" s="185" t="s">
        <v>21</v>
      </c>
      <c r="AI17" s="182"/>
      <c r="AK17" s="178">
        <v>11</v>
      </c>
      <c r="AL17" s="185" t="s">
        <v>37</v>
      </c>
      <c r="AM17" s="182"/>
      <c r="AO17" s="178">
        <v>11</v>
      </c>
      <c r="AP17" s="185" t="s">
        <v>24</v>
      </c>
      <c r="AQ17" s="182"/>
      <c r="AS17" s="178">
        <v>11</v>
      </c>
      <c r="AT17" s="185" t="s">
        <v>18</v>
      </c>
      <c r="AU17" s="182"/>
      <c r="AW17" s="178">
        <v>11</v>
      </c>
      <c r="AX17" s="185" t="s">
        <v>24</v>
      </c>
      <c r="AY17" s="182"/>
    </row>
    <row r="18" spans="2:51" ht="26.25" x14ac:dyDescent="0.4">
      <c r="B18" s="185" t="s">
        <v>45</v>
      </c>
      <c r="E18" s="179">
        <v>12</v>
      </c>
      <c r="F18" s="185" t="s">
        <v>24</v>
      </c>
      <c r="G18" s="182"/>
      <c r="H18" s="75"/>
      <c r="I18" s="179">
        <v>12</v>
      </c>
      <c r="J18" s="185" t="s">
        <v>45</v>
      </c>
      <c r="K18" s="182"/>
      <c r="M18" s="179">
        <v>12</v>
      </c>
      <c r="N18" s="185" t="s">
        <v>18</v>
      </c>
      <c r="O18" s="182"/>
      <c r="Q18" s="179">
        <v>12</v>
      </c>
      <c r="R18" s="185" t="s">
        <v>21</v>
      </c>
      <c r="S18" s="182"/>
      <c r="U18" s="179">
        <v>12</v>
      </c>
      <c r="V18" s="185" t="s">
        <v>45</v>
      </c>
      <c r="W18" s="182"/>
      <c r="Y18" s="179">
        <v>12</v>
      </c>
      <c r="Z18" s="185" t="s">
        <v>20</v>
      </c>
      <c r="AA18" s="182"/>
      <c r="AC18" s="179">
        <v>12</v>
      </c>
      <c r="AD18" s="185" t="s">
        <v>37</v>
      </c>
      <c r="AE18" s="182"/>
      <c r="AG18" s="179">
        <v>12</v>
      </c>
      <c r="AH18" s="185" t="s">
        <v>52</v>
      </c>
      <c r="AI18" s="182"/>
      <c r="AK18" s="179">
        <v>12</v>
      </c>
      <c r="AL18" s="185" t="s">
        <v>20</v>
      </c>
      <c r="AM18" s="182"/>
      <c r="AO18" s="179">
        <v>12</v>
      </c>
      <c r="AP18" s="185" t="s">
        <v>18</v>
      </c>
      <c r="AQ18" s="182"/>
      <c r="AS18" s="179">
        <v>12</v>
      </c>
      <c r="AT18" s="185" t="s">
        <v>38</v>
      </c>
      <c r="AU18" s="182"/>
      <c r="AW18" s="179">
        <v>12</v>
      </c>
      <c r="AX18" s="185" t="s">
        <v>37</v>
      </c>
      <c r="AY18" s="182"/>
    </row>
    <row r="19" spans="2:51" ht="26.25" x14ac:dyDescent="0.4">
      <c r="B19" s="185" t="s">
        <v>29</v>
      </c>
      <c r="E19" s="179">
        <v>13</v>
      </c>
      <c r="F19" s="185" t="s">
        <v>18</v>
      </c>
      <c r="G19" s="182"/>
      <c r="H19" s="75"/>
      <c r="I19" s="179">
        <v>13</v>
      </c>
      <c r="J19" s="185" t="s">
        <v>20</v>
      </c>
      <c r="K19" s="182"/>
      <c r="M19" s="179">
        <v>13</v>
      </c>
      <c r="N19" s="185" t="s">
        <v>21</v>
      </c>
      <c r="O19" s="182"/>
      <c r="Q19" s="179">
        <v>13</v>
      </c>
      <c r="R19" s="185" t="s">
        <v>24</v>
      </c>
      <c r="S19" s="182"/>
      <c r="U19" s="179">
        <v>13</v>
      </c>
      <c r="V19" s="185" t="s">
        <v>44</v>
      </c>
      <c r="W19" s="182"/>
      <c r="Y19" s="179">
        <v>13</v>
      </c>
      <c r="Z19" s="185" t="s">
        <v>21</v>
      </c>
      <c r="AA19" s="182"/>
      <c r="AC19" s="179">
        <v>13</v>
      </c>
      <c r="AD19" s="185" t="s">
        <v>19</v>
      </c>
      <c r="AE19" s="182"/>
      <c r="AG19" s="179">
        <v>13</v>
      </c>
      <c r="AH19" s="185" t="s">
        <v>20</v>
      </c>
      <c r="AI19" s="182"/>
      <c r="AK19" s="179">
        <v>13</v>
      </c>
      <c r="AL19" s="185" t="s">
        <v>45</v>
      </c>
      <c r="AM19" s="182"/>
      <c r="AO19" s="179">
        <v>13</v>
      </c>
      <c r="AP19" s="185" t="s">
        <v>21</v>
      </c>
      <c r="AQ19" s="182"/>
      <c r="AS19" s="179">
        <v>13</v>
      </c>
      <c r="AT19" s="185" t="s">
        <v>24</v>
      </c>
      <c r="AU19" s="182"/>
      <c r="AW19" s="179">
        <v>13</v>
      </c>
      <c r="AX19" s="185" t="s">
        <v>21</v>
      </c>
      <c r="AY19" s="182"/>
    </row>
    <row r="20" spans="2:51" ht="26.25" x14ac:dyDescent="0.4">
      <c r="B20" s="185" t="s">
        <v>44</v>
      </c>
      <c r="E20" s="179">
        <v>14</v>
      </c>
      <c r="F20" s="185" t="s">
        <v>38</v>
      </c>
      <c r="G20" s="182"/>
      <c r="H20" s="75"/>
      <c r="I20" s="179">
        <v>14</v>
      </c>
      <c r="J20" s="185" t="s">
        <v>38</v>
      </c>
      <c r="K20" s="182"/>
      <c r="M20" s="179">
        <v>14</v>
      </c>
      <c r="N20" s="185" t="s">
        <v>29</v>
      </c>
      <c r="O20" s="182"/>
      <c r="Q20" s="179">
        <v>14</v>
      </c>
      <c r="R20" s="185" t="s">
        <v>20</v>
      </c>
      <c r="S20" s="182"/>
      <c r="U20" s="179">
        <v>14</v>
      </c>
      <c r="V20" s="185" t="s">
        <v>24</v>
      </c>
      <c r="W20" s="182"/>
      <c r="Y20" s="179">
        <v>14</v>
      </c>
      <c r="Z20" s="185" t="s">
        <v>29</v>
      </c>
      <c r="AA20" s="182"/>
      <c r="AC20" s="179">
        <v>14</v>
      </c>
      <c r="AD20" s="185" t="s">
        <v>38</v>
      </c>
      <c r="AE20" s="182"/>
      <c r="AG20" s="179">
        <v>14</v>
      </c>
      <c r="AH20" s="185" t="s">
        <v>38</v>
      </c>
      <c r="AI20" s="182"/>
      <c r="AK20" s="179">
        <v>14</v>
      </c>
      <c r="AL20" s="185" t="s">
        <v>21</v>
      </c>
      <c r="AM20" s="182"/>
      <c r="AO20" s="179">
        <v>14</v>
      </c>
      <c r="AP20" s="185" t="s">
        <v>20</v>
      </c>
      <c r="AQ20" s="182"/>
      <c r="AS20" s="179">
        <v>14</v>
      </c>
      <c r="AT20" s="185" t="s">
        <v>21</v>
      </c>
      <c r="AU20" s="182"/>
      <c r="AW20" s="179">
        <v>14</v>
      </c>
      <c r="AX20" s="185" t="s">
        <v>20</v>
      </c>
      <c r="AY20" s="182"/>
    </row>
    <row r="21" spans="2:51" ht="26.25" x14ac:dyDescent="0.4">
      <c r="B21" s="185" t="s">
        <v>37</v>
      </c>
      <c r="E21" s="179">
        <v>15</v>
      </c>
      <c r="F21" s="185" t="s">
        <v>45</v>
      </c>
      <c r="G21" s="182"/>
      <c r="H21" s="75"/>
      <c r="I21" s="179">
        <v>15</v>
      </c>
      <c r="J21" s="185" t="s">
        <v>29</v>
      </c>
      <c r="K21" s="182"/>
      <c r="M21" s="179">
        <v>15</v>
      </c>
      <c r="N21" s="185" t="s">
        <v>37</v>
      </c>
      <c r="O21" s="182"/>
      <c r="Q21" s="179">
        <v>15</v>
      </c>
      <c r="R21" s="185" t="s">
        <v>29</v>
      </c>
      <c r="S21" s="182"/>
      <c r="U21" s="179">
        <v>15</v>
      </c>
      <c r="V21" s="185" t="s">
        <v>29</v>
      </c>
      <c r="W21" s="182"/>
      <c r="Y21" s="179">
        <v>15</v>
      </c>
      <c r="Z21" s="185" t="s">
        <v>24</v>
      </c>
      <c r="AA21" s="182"/>
      <c r="AC21" s="179">
        <v>15</v>
      </c>
      <c r="AD21" s="185" t="s">
        <v>20</v>
      </c>
      <c r="AE21" s="182"/>
      <c r="AG21" s="179">
        <v>15</v>
      </c>
      <c r="AH21" s="185" t="s">
        <v>45</v>
      </c>
      <c r="AI21" s="182"/>
      <c r="AK21" s="179">
        <v>15</v>
      </c>
      <c r="AL21" s="185" t="s">
        <v>29</v>
      </c>
      <c r="AM21" s="182"/>
      <c r="AO21" s="179">
        <v>15</v>
      </c>
      <c r="AP21" s="185" t="s">
        <v>29</v>
      </c>
      <c r="AQ21" s="182"/>
      <c r="AS21" s="179">
        <v>15</v>
      </c>
      <c r="AT21" s="185" t="s">
        <v>20</v>
      </c>
      <c r="AU21" s="182"/>
      <c r="AW21" s="179">
        <v>15</v>
      </c>
      <c r="AX21" s="185" t="s">
        <v>38</v>
      </c>
      <c r="AY21" s="182"/>
    </row>
    <row r="22" spans="2:51" ht="27" thickBot="1" x14ac:dyDescent="0.45">
      <c r="B22" s="186" t="s">
        <v>38</v>
      </c>
      <c r="E22" s="180">
        <v>16</v>
      </c>
      <c r="F22" s="186" t="s">
        <v>29</v>
      </c>
      <c r="G22" s="183"/>
      <c r="H22" s="75"/>
      <c r="I22" s="180">
        <v>16</v>
      </c>
      <c r="J22" s="186" t="s">
        <v>24</v>
      </c>
      <c r="K22" s="183"/>
      <c r="M22" s="180">
        <v>16</v>
      </c>
      <c r="N22" s="186" t="s">
        <v>38</v>
      </c>
      <c r="O22" s="183"/>
      <c r="Q22" s="180">
        <v>16</v>
      </c>
      <c r="R22" s="186" t="s">
        <v>38</v>
      </c>
      <c r="S22" s="183"/>
      <c r="U22" s="180">
        <v>16</v>
      </c>
      <c r="V22" s="186" t="s">
        <v>38</v>
      </c>
      <c r="W22" s="183"/>
      <c r="Y22" s="180">
        <v>16</v>
      </c>
      <c r="Z22" s="186" t="s">
        <v>38</v>
      </c>
      <c r="AA22" s="183"/>
      <c r="AC22" s="180">
        <v>16</v>
      </c>
      <c r="AD22" s="186" t="s">
        <v>29</v>
      </c>
      <c r="AE22" s="183"/>
      <c r="AG22" s="180">
        <v>16</v>
      </c>
      <c r="AH22" s="186" t="s">
        <v>29</v>
      </c>
      <c r="AI22" s="183"/>
      <c r="AK22" s="180">
        <v>16</v>
      </c>
      <c r="AL22" s="186" t="s">
        <v>38</v>
      </c>
      <c r="AM22" s="183"/>
      <c r="AO22" s="180">
        <v>16</v>
      </c>
      <c r="AP22" s="186" t="s">
        <v>38</v>
      </c>
      <c r="AQ22" s="183"/>
      <c r="AS22" s="180">
        <v>16</v>
      </c>
      <c r="AT22" s="186" t="s">
        <v>29</v>
      </c>
      <c r="AU22" s="183"/>
      <c r="AW22" s="180">
        <v>16</v>
      </c>
      <c r="AX22" s="186" t="s">
        <v>29</v>
      </c>
      <c r="AY22" s="183"/>
    </row>
    <row r="25" spans="2:51" ht="15.75" thickBot="1" x14ac:dyDescent="0.3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AC25" s="14"/>
      <c r="AD25" s="14"/>
      <c r="AG25" s="14"/>
      <c r="AH25" s="14"/>
      <c r="AK25" s="14"/>
      <c r="AL25" s="14"/>
      <c r="AO25" s="14"/>
      <c r="AP25" s="14"/>
      <c r="AS25" s="14"/>
      <c r="AT25" s="14"/>
      <c r="AW25" s="14"/>
      <c r="AX25" s="14"/>
    </row>
    <row r="27" spans="2:51" ht="21" x14ac:dyDescent="0.25">
      <c r="F27" s="171" t="s">
        <v>12</v>
      </c>
    </row>
    <row r="28" spans="2:51" ht="15.75" thickBot="1" x14ac:dyDescent="0.3"/>
    <row r="29" spans="2:51" x14ac:dyDescent="0.25">
      <c r="E29" s="172">
        <v>1</v>
      </c>
      <c r="F29" s="169"/>
      <c r="G29" s="28">
        <v>30</v>
      </c>
    </row>
    <row r="30" spans="2:51" x14ac:dyDescent="0.25">
      <c r="E30" s="173">
        <v>2</v>
      </c>
      <c r="F30" s="169"/>
      <c r="G30" s="28">
        <v>20</v>
      </c>
    </row>
    <row r="31" spans="2:51" x14ac:dyDescent="0.25">
      <c r="E31" s="173">
        <v>3</v>
      </c>
      <c r="F31" s="169"/>
      <c r="G31" s="28">
        <v>10</v>
      </c>
    </row>
    <row r="32" spans="2:51" x14ac:dyDescent="0.25">
      <c r="E32" s="173">
        <v>4</v>
      </c>
      <c r="F32" s="169"/>
      <c r="G32" s="28">
        <v>5</v>
      </c>
      <c r="J32" s="170" t="s">
        <v>39</v>
      </c>
    </row>
    <row r="33" spans="5:13" x14ac:dyDescent="0.25">
      <c r="E33" s="173">
        <v>5</v>
      </c>
      <c r="F33" s="169"/>
      <c r="G33" s="28">
        <v>5</v>
      </c>
      <c r="L33" s="12"/>
      <c r="M33" s="12"/>
    </row>
    <row r="34" spans="5:13" ht="15.75" thickBot="1" x14ac:dyDescent="0.3">
      <c r="E34" s="174">
        <v>6</v>
      </c>
      <c r="F34" s="169"/>
      <c r="G34" s="28">
        <v>5</v>
      </c>
      <c r="L34" s="12"/>
      <c r="M34" s="12"/>
    </row>
    <row r="35" spans="5:13" x14ac:dyDescent="0.25">
      <c r="E35" s="175">
        <v>7</v>
      </c>
      <c r="F35" s="169"/>
      <c r="G35" s="28">
        <v>5</v>
      </c>
      <c r="L35" s="13"/>
      <c r="M35" s="13"/>
    </row>
    <row r="36" spans="5:13" x14ac:dyDescent="0.25">
      <c r="E36" s="176">
        <v>8</v>
      </c>
      <c r="F36" s="169"/>
      <c r="G36" s="28">
        <v>5</v>
      </c>
      <c r="L36" s="13"/>
      <c r="M36" s="13"/>
    </row>
    <row r="37" spans="5:13" x14ac:dyDescent="0.25">
      <c r="E37" s="176">
        <v>9</v>
      </c>
      <c r="F37" s="169"/>
      <c r="G37" s="28">
        <v>5</v>
      </c>
    </row>
    <row r="38" spans="5:13" ht="15.75" thickBot="1" x14ac:dyDescent="0.3">
      <c r="E38" s="177">
        <v>10</v>
      </c>
      <c r="F38" s="169"/>
      <c r="G38" s="28">
        <v>5</v>
      </c>
      <c r="L38" s="12"/>
      <c r="M38" s="12"/>
    </row>
    <row r="39" spans="5:13" x14ac:dyDescent="0.25">
      <c r="E39" s="178">
        <v>11</v>
      </c>
      <c r="F39" s="169"/>
      <c r="G39" s="28">
        <v>5</v>
      </c>
    </row>
    <row r="40" spans="5:13" x14ac:dyDescent="0.25">
      <c r="E40" s="179">
        <v>12</v>
      </c>
      <c r="F40" s="169"/>
      <c r="G40" s="28">
        <v>5</v>
      </c>
    </row>
    <row r="41" spans="5:13" x14ac:dyDescent="0.25">
      <c r="E41" s="179">
        <v>13</v>
      </c>
      <c r="F41" s="169"/>
      <c r="G41" s="28">
        <v>5</v>
      </c>
    </row>
    <row r="42" spans="5:13" x14ac:dyDescent="0.25">
      <c r="E42" s="179">
        <v>14</v>
      </c>
      <c r="F42" s="169"/>
      <c r="G42" s="28">
        <v>5</v>
      </c>
    </row>
    <row r="43" spans="5:13" x14ac:dyDescent="0.25">
      <c r="E43" s="179">
        <v>15</v>
      </c>
      <c r="F43" s="169"/>
      <c r="G43" s="28">
        <v>5</v>
      </c>
    </row>
    <row r="44" spans="5:13" ht="15.75" thickBot="1" x14ac:dyDescent="0.3">
      <c r="E44" s="180">
        <v>16</v>
      </c>
      <c r="F44" s="169"/>
      <c r="G44" s="28">
        <v>15</v>
      </c>
    </row>
  </sheetData>
  <mergeCells count="1">
    <mergeCell ref="D1:R3"/>
  </mergeCells>
  <pageMargins left="0.7" right="0.7" top="0.78740157499999996" bottom="0.78740157499999996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C8:M27"/>
  <sheetViews>
    <sheetView zoomScale="145" zoomScaleNormal="145" workbookViewId="0">
      <selection activeCell="J9" sqref="J9:L20"/>
    </sheetView>
  </sheetViews>
  <sheetFormatPr defaultRowHeight="15" x14ac:dyDescent="0.25"/>
  <cols>
    <col min="3" max="3" width="11.5703125" bestFit="1" customWidth="1"/>
    <col min="11" max="11" width="16" bestFit="1" customWidth="1"/>
    <col min="12" max="12" width="13.42578125" customWidth="1"/>
  </cols>
  <sheetData>
    <row r="8" spans="10:13" ht="15.75" thickBot="1" x14ac:dyDescent="0.3">
      <c r="K8" t="s">
        <v>6</v>
      </c>
      <c r="L8" t="s">
        <v>0</v>
      </c>
      <c r="M8" s="20" t="s">
        <v>25</v>
      </c>
    </row>
    <row r="9" spans="10:13" ht="27.75" thickTop="1" thickBot="1" x14ac:dyDescent="0.3">
      <c r="J9" s="9">
        <v>1</v>
      </c>
      <c r="K9" s="106" t="s">
        <v>27</v>
      </c>
      <c r="L9" s="8">
        <f>Tipy!AR8+'Umístění týmů'!AE5</f>
        <v>122</v>
      </c>
      <c r="M9" s="21">
        <f>Tipy!AR4</f>
        <v>0.5625</v>
      </c>
    </row>
    <row r="10" spans="10:13" ht="27.75" thickTop="1" thickBot="1" x14ac:dyDescent="0.3">
      <c r="J10" s="9">
        <v>2</v>
      </c>
      <c r="K10" s="23" t="s">
        <v>11</v>
      </c>
      <c r="L10" s="8">
        <f>Tipy!AC8+'Umístění týmů'!AA5</f>
        <v>110</v>
      </c>
      <c r="M10" s="21">
        <f>Tipy!AC4</f>
        <v>0.5625</v>
      </c>
    </row>
    <row r="11" spans="10:13" ht="27.75" thickTop="1" thickBot="1" x14ac:dyDescent="0.3">
      <c r="J11" s="9">
        <v>3</v>
      </c>
      <c r="K11" s="35" t="s">
        <v>53</v>
      </c>
      <c r="L11" s="8">
        <f>Tipy!BL8</f>
        <v>106</v>
      </c>
      <c r="M11" s="21">
        <f>Tipy!BL4</f>
        <v>0.4375</v>
      </c>
    </row>
    <row r="12" spans="10:13" ht="27.75" thickTop="1" thickBot="1" x14ac:dyDescent="0.3">
      <c r="J12" s="9">
        <v>4</v>
      </c>
      <c r="K12" s="105" t="s">
        <v>4</v>
      </c>
      <c r="L12" s="8">
        <f>Tipy!S8+'Umístění týmů'!K5</f>
        <v>98</v>
      </c>
      <c r="M12" s="21">
        <f>Tipy!S4</f>
        <v>0.4375</v>
      </c>
    </row>
    <row r="13" spans="10:13" ht="27.75" thickTop="1" thickBot="1" x14ac:dyDescent="0.3">
      <c r="J13" s="9">
        <v>5</v>
      </c>
      <c r="K13" s="152" t="s">
        <v>36</v>
      </c>
      <c r="L13" s="8">
        <f>Tipy!BG8+'Umístění týmů'!AQ5</f>
        <v>96</v>
      </c>
      <c r="M13" s="21">
        <f>Tipy!BG4</f>
        <v>0.5625</v>
      </c>
    </row>
    <row r="14" spans="10:13" ht="27.75" thickTop="1" thickBot="1" x14ac:dyDescent="0.3">
      <c r="J14" s="9">
        <v>6</v>
      </c>
      <c r="K14" s="124" t="s">
        <v>34</v>
      </c>
      <c r="L14" s="8">
        <f>Tipy!BB8+'Umístění týmů'!AM5</f>
        <v>90</v>
      </c>
      <c r="M14" s="21">
        <f>Tipy!BB4</f>
        <v>0.5</v>
      </c>
    </row>
    <row r="15" spans="10:13" ht="27.75" thickTop="1" thickBot="1" x14ac:dyDescent="0.3">
      <c r="J15" s="9">
        <v>7</v>
      </c>
      <c r="K15" s="30" t="s">
        <v>10</v>
      </c>
      <c r="L15" s="8">
        <f>Tipy!X8+'Umístění týmů'!O5</f>
        <v>86</v>
      </c>
      <c r="M15" s="21">
        <f>Tipy!X4</f>
        <v>0.5</v>
      </c>
    </row>
    <row r="16" spans="10:13" ht="27.75" thickTop="1" thickBot="1" x14ac:dyDescent="0.3">
      <c r="J16" s="9">
        <v>8</v>
      </c>
      <c r="K16" s="31" t="s">
        <v>5</v>
      </c>
      <c r="L16" s="8">
        <f>Tipy!AH8+'Umístění týmů'!W5</f>
        <v>77</v>
      </c>
      <c r="M16" s="21">
        <f>Tipy!AH4</f>
        <v>0.4375</v>
      </c>
    </row>
    <row r="17" spans="3:13" ht="27.75" thickTop="1" thickBot="1" x14ac:dyDescent="0.3">
      <c r="J17" s="9">
        <v>9</v>
      </c>
      <c r="K17" s="74" t="s">
        <v>9</v>
      </c>
      <c r="L17" s="8">
        <f>Tipy!AM8+'Umístění týmů'!S5</f>
        <v>71</v>
      </c>
      <c r="M17" s="21">
        <f>Tipy!AM4</f>
        <v>0.375</v>
      </c>
    </row>
    <row r="18" spans="3:13" ht="27.75" thickTop="1" thickBot="1" x14ac:dyDescent="0.3">
      <c r="J18" s="9">
        <v>10</v>
      </c>
      <c r="K18" s="231" t="s">
        <v>55</v>
      </c>
      <c r="L18" s="8">
        <f>Tipy!BQ8</f>
        <v>66</v>
      </c>
      <c r="M18" s="21">
        <v>0.25</v>
      </c>
    </row>
    <row r="19" spans="3:13" ht="27.75" thickTop="1" thickBot="1" x14ac:dyDescent="0.3">
      <c r="J19" s="9">
        <v>11</v>
      </c>
      <c r="K19" s="189" t="s">
        <v>28</v>
      </c>
      <c r="L19" s="8">
        <f>Tipy!AW8+'Umístění týmů'!AI5</f>
        <v>61</v>
      </c>
      <c r="M19" s="21">
        <f>Tipy!AW4</f>
        <v>0.375</v>
      </c>
    </row>
    <row r="20" spans="3:13" ht="27.75" thickTop="1" thickBot="1" x14ac:dyDescent="0.3">
      <c r="J20" s="9">
        <v>12</v>
      </c>
      <c r="K20" s="35" t="s">
        <v>7</v>
      </c>
      <c r="L20" s="8">
        <f>Tipy!N8+'Umístění týmů'!G5</f>
        <v>61</v>
      </c>
      <c r="M20" s="21">
        <f>Tipy!N4</f>
        <v>0.375</v>
      </c>
    </row>
    <row r="21" spans="3:13" ht="15.75" thickTop="1" x14ac:dyDescent="0.25"/>
    <row r="27" spans="3:13" ht="23.25" x14ac:dyDescent="0.35">
      <c r="C27" s="52" t="s">
        <v>2</v>
      </c>
    </row>
  </sheetData>
  <autoFilter ref="K8:M8" xr:uid="{00000000-0009-0000-0000-000002000000}">
    <sortState xmlns:xlrd2="http://schemas.microsoft.com/office/spreadsheetml/2017/richdata2" ref="K9:M20">
      <sortCondition descending="1" ref="L8"/>
    </sortState>
  </autoFilter>
  <sortState xmlns:xlrd2="http://schemas.microsoft.com/office/spreadsheetml/2017/richdata2" ref="K9:L17">
    <sortCondition descending="1" ref="L9:L17"/>
  </sortState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Tipy</vt:lpstr>
      <vt:lpstr>Umístění týmů</vt:lpstr>
      <vt:lpstr>Pořadí</vt:lpstr>
    </vt:vector>
  </TitlesOfParts>
  <Company>HOCHTIEF CZ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Bohacek Jiri</dc:creator>
  <cp:lastModifiedBy>Kamil Tesař</cp:lastModifiedBy>
  <cp:lastPrinted>2025-08-19T13:55:22Z</cp:lastPrinted>
  <dcterms:created xsi:type="dcterms:W3CDTF">2023-05-11T06:13:35Z</dcterms:created>
  <dcterms:modified xsi:type="dcterms:W3CDTF">2026-08-09T19:59:43Z</dcterms:modified>
</cp:coreProperties>
</file>